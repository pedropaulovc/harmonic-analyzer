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A079090D-C557-4756-9A00-26513B25A7A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Sheet2" sheetId="2" r:id="rId2"/>
    <sheet name="Milling_Machines___Unit_Price__" sheetId="3" r:id="rId3"/>
    <sheet name="Sheet1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4" l="1"/>
  <c r="E28" i="4" s="1"/>
  <c r="F23" i="4"/>
  <c r="F28" i="4" s="1"/>
  <c r="F32" i="4"/>
  <c r="G14" i="3"/>
</calcChain>
</file>

<file path=xl/sharedStrings.xml><?xml version="1.0" encoding="utf-8"?>
<sst xmlns="http://schemas.openxmlformats.org/spreadsheetml/2006/main" count="686" uniqueCount="432">
  <si>
    <t>Model</t>
  </si>
  <si>
    <t>Weight (kg)</t>
  </si>
  <si>
    <t>Quill Travel (mm)</t>
  </si>
  <si>
    <t>CNC‑convertible?</t>
  </si>
  <si>
    <t>3‑Axis DRO in box?</t>
  </si>
  <si>
    <t>Power‑feed?</t>
  </si>
  <si>
    <t>Motor (HP/type)</t>
  </si>
  <si>
    <t>Ball / Lead‑screw</t>
  </si>
  <si>
    <t>Box‑way?</t>
  </si>
  <si>
    <t>Column style</t>
  </si>
  <si>
    <t>Spindle Speed (RPM)</t>
  </si>
  <si>
    <t>Spindle Taper</t>
  </si>
  <si>
    <t>Price (USD)</t>
  </si>
  <si>
    <t>ZX50C gear‑head</t>
  </si>
  <si>
    <t>ZX7045 square‑column</t>
  </si>
  <si>
    <t>ZX45 gear‑head</t>
  </si>
  <si>
    <t>ZX40 gear‑head</t>
  </si>
  <si>
    <t>ZX7032 round‑column</t>
  </si>
  <si>
    <t>ZX7025 round‑column</t>
  </si>
  <si>
    <t>ZX32 compact</t>
  </si>
  <si>
    <t>PM‑25MV</t>
  </si>
  <si>
    <t>PM‑30MV</t>
  </si>
  <si>
    <t>PM‑727M</t>
  </si>
  <si>
    <t>PM‑727V</t>
  </si>
  <si>
    <t>PM‑728VT</t>
  </si>
  <si>
    <t>PM‑833TV</t>
  </si>
  <si>
    <t>PM‑932M</t>
  </si>
  <si>
    <t>Grizzly G0781</t>
  </si>
  <si>
    <t>Grizzly G0758</t>
  </si>
  <si>
    <t>Grizzly G0759</t>
  </si>
  <si>
    <t>Grizzly G0705</t>
  </si>
  <si>
    <t>Grizzly G0760</t>
  </si>
  <si>
    <t>Grizzly G0935</t>
  </si>
  <si>
    <t>Grizzly G9729</t>
  </si>
  <si>
    <t>Yes</t>
  </si>
  <si>
    <t>Limited</t>
  </si>
  <si>
    <t>Possible</t>
  </si>
  <si>
    <t>No</t>
  </si>
  <si>
    <t>Optional</t>
  </si>
  <si>
    <t>X‑axis feed option</t>
  </si>
  <si>
    <t>Optional X</t>
  </si>
  <si>
    <t>Optional X/Z</t>
  </si>
  <si>
    <t>Yes – X‑axis</t>
  </si>
  <si>
    <t>1.5 kW brushless AC</t>
  </si>
  <si>
    <t>1.1 kW brushless AC</t>
  </si>
  <si>
    <t>2 HP brushless AC</t>
  </si>
  <si>
    <t>0.75 kW brushless AC</t>
  </si>
  <si>
    <t>0.75–1.1 kW brushless AC</t>
  </si>
  <si>
    <t>0.75 HP brushless DC</t>
  </si>
  <si>
    <t>2 HP brushless DC</t>
  </si>
  <si>
    <t>1 HP AC gear‑head</t>
  </si>
  <si>
    <t>1.5 HP AC + VFD</t>
  </si>
  <si>
    <t>1 HP brushless DC</t>
  </si>
  <si>
    <t>2 HP AC + VFD</t>
  </si>
  <si>
    <t>1.5 HP AC gear‑head</t>
  </si>
  <si>
    <t>0.75 HP brushed universal</t>
  </si>
  <si>
    <t>0.75 HP DC brushed</t>
  </si>
  <si>
    <t>1 HP DC brushed</t>
  </si>
  <si>
    <t>2 HP AC gear‑head</t>
  </si>
  <si>
    <t>0.75 HP AC</t>
  </si>
  <si>
    <t>Leadscrew</t>
  </si>
  <si>
    <t>Leadscrew (ballscrew kit avail.)</t>
  </si>
  <si>
    <t>Round column</t>
  </si>
  <si>
    <t>Tall dovetail stack</t>
  </si>
  <si>
    <t>Short dovetail</t>
  </si>
  <si>
    <t>Combo (round)</t>
  </si>
  <si>
    <t>40–1400 (8‑step)</t>
  </si>
  <si>
    <t>75–3200 (12‑step)</t>
  </si>
  <si>
    <t>95–1750 (6‑step)</t>
  </si>
  <si>
    <t>100–2080 (12‑step)</t>
  </si>
  <si>
    <t>100–2150 (12‑step)</t>
  </si>
  <si>
    <t>290–2150 (5‑step)</t>
  </si>
  <si>
    <t>95–1420 (6‑step)</t>
  </si>
  <si>
    <t>50–2500 (variable)</t>
  </si>
  <si>
    <t>50–3000 (variable)</t>
  </si>
  <si>
    <t>115–1700 (6‑step)</t>
  </si>
  <si>
    <t>40–3000 (variable)</t>
  </si>
  <si>
    <t>75–4000 (variable)</t>
  </si>
  <si>
    <t>50–3200 (variable)</t>
  </si>
  <si>
    <t>90–1970 (6‑step)</t>
  </si>
  <si>
    <t>50–2000 (variable)</t>
  </si>
  <si>
    <t>50–2000 (2‑range)</t>
  </si>
  <si>
    <t>50–2250 (2‑range)</t>
  </si>
  <si>
    <t>140–2436 (12‑step)</t>
  </si>
  <si>
    <t>80–5000 (2‑range)</t>
  </si>
  <si>
    <t>175–1425 (7‑step)</t>
  </si>
  <si>
    <t>MT4 / R8</t>
  </si>
  <si>
    <t>R8</t>
  </si>
  <si>
    <t>MT3 / R8</t>
  </si>
  <si>
    <t>MT3</t>
  </si>
  <si>
    <t>MT4</t>
  </si>
  <si>
    <t>$1,050–1,300</t>
  </si>
  <si>
    <t>$1,500–1,900</t>
  </si>
  <si>
    <t>$1,098–1,635</t>
  </si>
  <si>
    <t>$1,100–1,200</t>
  </si>
  <si>
    <t>$150+</t>
  </si>
  <si>
    <t>$1,300</t>
  </si>
  <si>
    <t>$2,399</t>
  </si>
  <si>
    <t>$2,999</t>
  </si>
  <si>
    <t>$2,699</t>
  </si>
  <si>
    <t>$2,899</t>
  </si>
  <si>
    <t>$3,699</t>
  </si>
  <si>
    <t>$4,699</t>
  </si>
  <si>
    <t>$2,799</t>
  </si>
  <si>
    <t>$1,195</t>
  </si>
  <si>
    <t>$1,723</t>
  </si>
  <si>
    <t>$3,469</t>
  </si>
  <si>
    <t>$2,905</t>
  </si>
  <si>
    <t>$3,105</t>
  </si>
  <si>
    <t>$4,337</t>
  </si>
  <si>
    <t>$2,852</t>
  </si>
  <si>
    <t>Price</t>
  </si>
  <si>
    <t>URL</t>
  </si>
  <si>
    <t>32VL</t>
  </si>
  <si>
    <t>https://www.alibaba.com/product-detail/RM-32VL-1500W-High-Precision-Manual_1601460154023.html</t>
  </si>
  <si>
    <t>3H</t>
  </si>
  <si>
    <t>$2,500‑3,000</t>
  </si>
  <si>
    <t>https://www.alibaba.com/product-detail/Hot-Selling-Vertical-Horizontal-Turret-Universal_1601406791912.html</t>
  </si>
  <si>
    <t>4H</t>
  </si>
  <si>
    <t>$2,580‑2,980</t>
  </si>
  <si>
    <t>https://www.alibaba.com/product-detail/New-High-Quality-4H-Spindle-Turret_1601488716151.html</t>
  </si>
  <si>
    <t>4H/5HM</t>
  </si>
  <si>
    <t>$2,300‑2,400</t>
  </si>
  <si>
    <t>https://www.alibaba.com/product-detail/Cheap-Price-Semi-Automatic-Universal-Milling_1601346869947.html</t>
  </si>
  <si>
    <t>CTZX32</t>
  </si>
  <si>
    <t>$1,180‑1,400</t>
  </si>
  <si>
    <t>https://www.alibaba.com/product-detail/CTZX32-Multi-Function-Variable-Speed-Drilling_1601457987228.html</t>
  </si>
  <si>
    <t>GD400</t>
  </si>
  <si>
    <t>https://www.alibaba.com/product-detail/Metal-Milling-Machine-Automatic-Drilling-Machine_1600519579683.html</t>
  </si>
  <si>
    <t>MW0800</t>
  </si>
  <si>
    <t>https://www.alibaba.com/product-detail/-Handy-Age-Geared-Head-Drilling_10000012150659.html</t>
  </si>
  <si>
    <t>NT4</t>
  </si>
  <si>
    <t>$1,700‑1,800</t>
  </si>
  <si>
    <t>https://www.alibaba.com/product-detail/Multifunctional-Zx50p-Manual-Mill-Light-Duty_1601417270701.html</t>
  </si>
  <si>
    <t>RM32V</t>
  </si>
  <si>
    <t>$1,195‑1,295</t>
  </si>
  <si>
    <t>https://www.alibaba.com/product-detail/ZX50C-Back-Gear-Bench-Milling-Machine_1601045210862.html</t>
  </si>
  <si>
    <t>RMZAY7045FG</t>
  </si>
  <si>
    <t>$1,820‑2,000</t>
  </si>
  <si>
    <t>https://www.alibaba.com/product-detail/ZAY7045FG-Medium-Size-Universal-Milling-Machine_1601435290923.html</t>
  </si>
  <si>
    <t>X6325</t>
  </si>
  <si>
    <t>$2,100‑2,600</t>
  </si>
  <si>
    <t>https://www.alibaba.com/product-detail/High-Quality-X6325-Vertical-Milling-Machine_1601392089795.html</t>
  </si>
  <si>
    <t>XQ6032</t>
  </si>
  <si>
    <t>$1,800‑2,400</t>
  </si>
  <si>
    <t>https://www.alibaba.com/product-detail/XQ6032-Brand-New-Manual-Milling-Machine_1601445965212.html</t>
  </si>
  <si>
    <t>YS3B</t>
  </si>
  <si>
    <t>https://www.alibaba.com/product-detail/YS3B-Medium-Size-Bench-Milling-Machine_1601428796169.html</t>
  </si>
  <si>
    <t>ZAY7032</t>
  </si>
  <si>
    <t>$1,300‑1,500</t>
  </si>
  <si>
    <t>https://www.alibaba.com/product-detail/China-Metal-ZAY7032-Drilling-Milling-Machine_1601397051706.html</t>
  </si>
  <si>
    <t>ZAY7045FG</t>
  </si>
  <si>
    <t>https://www.alibaba.com/product-detail/ZAY7045FG-Metal-Milling-Machine_1601435290923.html</t>
  </si>
  <si>
    <t>ZAY7532M</t>
  </si>
  <si>
    <t>https://www.alibaba.com/product-detail/Universal-Milling-Drilling-Machine-ZAY7532-Manual_1601375657443.html</t>
  </si>
  <si>
    <t>ZK9325</t>
  </si>
  <si>
    <t>$1,420‑1,650</t>
  </si>
  <si>
    <t>https://www.alibaba.com/product-detail/ZK9325-Variable-Speed-Drilling-Milling-Machine_1601382568433.html</t>
  </si>
  <si>
    <t>ZX32G</t>
  </si>
  <si>
    <t>https://www.alibaba.com/product-detail/ZX32G-Small-Industrial-Grade-Vertical-Bench_1601345420245.html</t>
  </si>
  <si>
    <t>ZX40</t>
  </si>
  <si>
    <t>https://www.alibaba.com/product-detail/Light-Digital-Display-No-4-Turret_1601294919090.html</t>
  </si>
  <si>
    <t>ZX45</t>
  </si>
  <si>
    <t>$1,098‑1,635</t>
  </si>
  <si>
    <t>https://www.alibaba.com/product-detail/Bench-Mini-Milling-and-Drilling-Machine_1601244043115.html</t>
  </si>
  <si>
    <t>https://www.alibaba.com/product-detail/Drilling-Milling-Tapping-Machine-High-Quality_1601451064852.html</t>
  </si>
  <si>
    <t>ZX50</t>
  </si>
  <si>
    <t>https://www.alibaba.com/product-detail/ZX50c-Mini-Manual-Drilling-Milling-Machine_1601041228635.html</t>
  </si>
  <si>
    <t>ZX50C</t>
  </si>
  <si>
    <t>$1,490‑1,770</t>
  </si>
  <si>
    <t>https://www.alibaba.com/product-detail/ZX50C-Bench-Top-Manual-Drilling-Milling_1600528570559.html</t>
  </si>
  <si>
    <t>https://www.alibaba.com/product-detail/Manual-BoRui-ZX50C-Milling-and-Drilling_62512870321.html</t>
  </si>
  <si>
    <t>ZX50CM</t>
  </si>
  <si>
    <t>https://www.alibaba.com/product-detail/ZX50CM-High-Efficiency-Vertical-CNC-ZX50C_1601484388276.html</t>
  </si>
  <si>
    <t>ZX5325M</t>
  </si>
  <si>
    <t>$2,300‑3,000</t>
  </si>
  <si>
    <t>https://www.alibaba.com/product-detail/ZX5325M-Universal-Vertical-Milling-Machine_1601428043572.html</t>
  </si>
  <si>
    <t>ZX6350C</t>
  </si>
  <si>
    <t>$1,650‑1,750</t>
  </si>
  <si>
    <t>https://www.alibaba.com/product-detail/ZX6350C-Combination-Drilling-Milling-Machine_1600528743725.html</t>
  </si>
  <si>
    <t>ZX6350T</t>
  </si>
  <si>
    <t>https://www.alibaba.com/product-detail/ZX6350T-Vertical-Horizontal-Drilling-Milling_1600522417289.html</t>
  </si>
  <si>
    <t>ZX6350Z</t>
  </si>
  <si>
    <t>https://www.alibaba.com/product-detail/ZX6350Z-Universal-Milling-Drilling-Machine_1600539136821.html</t>
  </si>
  <si>
    <t>ZX7025</t>
  </si>
  <si>
    <t>https://www.alibaba.com/product-detail/ZX7025-Bench-Type-Drilling-Milling-Machine_1600705331436.html</t>
  </si>
  <si>
    <t>ZX7045/1</t>
  </si>
  <si>
    <t>$1,100‑1,300</t>
  </si>
  <si>
    <t>https://www.alibaba.com/product-detail/ZX7045-1-Heavy-Duty-Bench-Drilling_1600463633932.html</t>
  </si>
  <si>
    <t>ZX7125C</t>
  </si>
  <si>
    <t>https://www.alibaba.com/product-detail/ZX7125C-Benchtop-Universal-Milling-Drilling_62506475845.html</t>
  </si>
  <si>
    <t>ZX75</t>
  </si>
  <si>
    <t>$1,700‑1,750</t>
  </si>
  <si>
    <t>https://www.alibaba.com/product-detail/ZX75-Turret-Vertical-Horizontal-Milling_1600511626267.html</t>
  </si>
  <si>
    <t>ZX7550</t>
  </si>
  <si>
    <t>https://www.alibaba.com/product-detail/ZX7550-Mini-Vertical-Universal-Milling-Machine_1601453622185.html</t>
  </si>
  <si>
    <t>ZX7550C</t>
  </si>
  <si>
    <t>https://www.alibaba.com/product-detail/ANDUUK-High-precision-ZX7550C-ZX7550CW-Vertical_1601392126870.html</t>
  </si>
  <si>
    <t>ZX7550CW</t>
  </si>
  <si>
    <t>$1,389‑1,598</t>
  </si>
  <si>
    <t>https://www.alibaba.com/product-detail/ZX7550CW-Vertical-And-Horizontal-Milling_1600483653877.html</t>
  </si>
  <si>
    <t>ZX7550CW/1</t>
  </si>
  <si>
    <t>https://www.alibaba.com/product-detail/ZX7550CW-1-Combination-Milling-Machine_1600484006511.html</t>
  </si>
  <si>
    <t>ZX75S</t>
  </si>
  <si>
    <t>https://www.alibaba.com/product-detail/ZX75S-Small-Manual-Milling-Drilling-Machine_1601455379325.html</t>
  </si>
  <si>
    <t>ZX75VS</t>
  </si>
  <si>
    <t>https://www.alibaba.com/product-detail/ZX75VS-Variable-Speed-Vertical-Milling-Machine_1601454937388.html</t>
  </si>
  <si>
    <t>RM-32VL</t>
  </si>
  <si>
    <t>MW0800-066</t>
  </si>
  <si>
    <t>ZX-45G</t>
  </si>
  <si>
    <t>1 Year</t>
  </si>
  <si>
    <t>NA</t>
  </si>
  <si>
    <t>MT4 or R8</t>
  </si>
  <si>
    <t>80 - 1250 r.p.m</t>
  </si>
  <si>
    <t>Mini Drilling Milling Machine ZX45 Household Manual Metal Drill Machine 1.5KW for Metal Working</t>
  </si>
  <si>
    <t>{"quantity (pieces)": "1 - 1", "no reviews yet": "Shenzhen Keda Technology Co., Ltd.", "shenzhen keda technology co., ltd.": "1 yr", "voltage": "220V", "max. table load(kg)": "100", "product descriptions from the supplier": "&gt;= 1 pieces", "&gt;= 1 pieces": "$1,120", "shipping": "Shipping fee and delivery date to be negotiated. Chat with supplier now for more details.", "send inquiry": "Chat now", "hobby milling machine": "5 axis milling machine"}</t>
  </si>
  <si>
    <t>RM-32VL-1500W-High-Precision-Manual_1601460154023.html.txt</t>
  </si>
  <si>
    <t>50 - 2250</t>
  </si>
  <si>
    <t>RM-32VL 1500W High Precision Manual Metal Aluminium Drilling Milling Machine Mini Vertical Combination Lathe Milling</t>
  </si>
  <si>
    <t>{"quantity (pieces)": "1 - 1", "small industrial milling machine": "220v Bench Miller", "dalian barnett flex hydraulics co., ltd.": "6 yrs", "voltage": "220v/380v", "max. table load(kg)": "500", "dimension(l*w*h)": "1000x800x1200mm", "single package size": "100X80X120 cm", "single gross weight": "205.000 kg", "add to cart": "Chat now"}</t>
  </si>
  <si>
    <t>1 year</t>
  </si>
  <si>
    <t>Mt3 or r8</t>
  </si>
  <si>
    <t>ZX32G-Small-Industrial-Grade-Vertical-Bench_1601345420245.html.txt</t>
  </si>
  <si>
    <t>95 - 1420</t>
  </si>
  <si>
    <t>ZX32G Small Industrial Grade Vertical Bench Drilling and Milling Machine for Home and Workshop Manual Mills Use</t>
  </si>
  <si>
    <t>{"quantity (pieces)": "1 - 1", "certified": "Anhui Citie Technology Co., Ltd.", "custom manufacturer": "6 yrs", "voltage": "220v/380v", "max. table load(kg)": "50", "dimension(l*w*h)": "1000*800*1200mm", "single package size": "72X72X105 cm", "single gross weight": "220.000 KG", "product descriptions from the supplier": "1 - 2 pieces", "1 - 2 pieces": "$1,400", "3 - 5 pieces": "$1,340", "6 - 18 pieces": "$1,280", "&gt;= 19 pieces": "$1,180", "shipping": "Shipping fee and delivery date to be negotiated. Chat with supplier now for more details.", "send inquiry": "Chat now"}</t>
  </si>
  <si>
    <t>Mt3</t>
  </si>
  <si>
    <t>CTZX32-Multi-Function-Variable-Speed-Drilling_1601457987228.html.txt</t>
  </si>
  <si>
    <t>CTZX32 Multi-Function Variable Speed Drilling Milling Machine Heavy Duty Vertical Bench Drill Mill Manual Mill for Benchtop Use</t>
  </si>
  <si>
    <t>{"no reviews yet": "#8", "handy-age industrial co., ltd.": "17 yrs", "dimension(l*w*h)": "870 x890 x 1920mm", "machinery test report": "Not Available", "video outgoing-inspection": "Not Available", "face cutting capacity": "76mm", "end milling capacity": "32mm (1-1/4\")", "mt #3 or r-8": "Spindle Nose ToTable", "spindle nose totable": "450mm", "quill travel": "120mm", "quill dia": "O 75mm", "head swivel": "90Â° R &amp; L", "main motor": "1HP", "customization options": "Chat now", "shipping": "Shipping fee and delivery date to be negotiated. Chat with supplier now for more details.", "send inquiry": "Chat now", "spindle_speed_min_rpm": 50, "spindle_speed_max_rpm": 1250, "motor_power_kw": 0.75}</t>
  </si>
  <si>
    <t>MT #3 OR R-8</t>
  </si>
  <si>
    <t>50 - 1250 r.p.m</t>
  </si>
  <si>
    <t>[Handy-Age]-Geared Head Drilling / Milling Machine (MW0800-066)</t>
  </si>
  <si>
    <t>{"quantity (sets)": "1 - 10", "drilling and tapping machine automatic": "zx45 Drilling Milling Machine", "(1 review)": "3 sold", "3 sold": "#10", "multispecialty supplier": "7 yrs", "voltage": "220/380V", "max. table load(kg)": "200", "max.drilling capacity": "45mm", "max.face milling capacity": "63mm", "max. end milling capacity": "20mm", "taper of spindle bore": "MT4 or R8", "single package size": "100X100X116 cm", "single gross weight": "500.000 KG", "customization options": "Chat now", "customizable": "1 - 19 sets", "1 - 19 sets": "$1,635", "20 - 49 sets": "$1,567", "50 - 199 sets": "$1,499", "&gt;= 200 sets": "$1,098", "shipping": "Shipping fee and delivery date to be negotiated. Chat with supplier now for more details.", "send inquiry": "Chat now", "chat now": "$20 off $999", "hobby milling machine": "5 axis milling machine", "spindle_speed_min_rpm": 80, "spindle_speed_max_rpm": 1500}</t>
  </si>
  <si>
    <t>Bench-Mini-Milling-and-Drilling-Machine_1601244043115.html.txt</t>
  </si>
  <si>
    <t>80 - 1500 r.p.m</t>
  </si>
  <si>
    <t>Bench Mini Milling and Drilling Machine Tapping Machine  R8 Spindle Taper Manual Mills Bench ZX45 Drilling Milling Machine</t>
  </si>
  <si>
    <t>{"quantity (sets)": "1 - 1", "heavy duty metal processing equipment": "mt3 Spindle Taper Mill Product on Alibaba.com", "voltage": "380V, 220V, 110V", "max. table load(kg)": "300", "dimension(l*w*h)": "1100*970*1650", "shipping": "Shipping fee and delivery date to be negotiated. Chat with supplier now for more details.", "send inquiry": "Chat now"}</t>
  </si>
  <si>
    <t>ZX50CM-High-Efficiency-Vertical-CNC-ZX50C_1601484388276.html.txt</t>
  </si>
  <si>
    <t>40 - 1440</t>
  </si>
  <si>
    <t>M High-Efficiency Vertical CNc Zx50c New Condition Light Duty Metal Processing Equipment Core Motor Component Manual Mills</t>
  </si>
  <si>
    <t>{"quantity (sets)": "1 - 1", "no reviews yet": "1 sold", "brand holder": "10 yrs", "max. table load(kg)": "500", "dimension(l*w*h)": "1100X970X1650mm", "provided": "CNC or Not", "cnc or not": "Normal", "max drilling diameter": "50mm", "max boring diameter": "100mm", "spindle speed": "115-1750", "table size": "800x240mm", "spindle travel": "120mm", "single package size": "110X96X160 cm", "single gross weight": "600.000 KG", "product descriptions from the supplier": "&gt;= 1 sets", "&gt;= 1 sets": "$1,950", "shipping": "Shipping fee and delivery date to be negotiated. Chat with supplier now for more details.", "send inquiry": "Chat now", "chat now": "$15 off $150", "spindle_speed_min_rpm": 115, "spindle_speed_max_rpm": 1750}</t>
  </si>
  <si>
    <t>Manual-BoRui-ZX50C-Milling-and-Drilling_62512870321.html.txt</t>
  </si>
  <si>
    <t>115 - 1750 r.p.m</t>
  </si>
  <si>
    <t>Manual BoRui ZX50C Milling and Drilling Machine  Heavy Duty Metal Bench Mill with Gear Drive for Workshop Use</t>
  </si>
  <si>
    <t>{"quantity (sets)": "1 - 1", "no reviews yet": "1 sold", "custom manufacturer": "3 yrs", "voltage": "380V", "spindle motor power(kw)": "2.2", "dimension(l*w*h)": "1030*920*1560mm", "single package size": "30X60X60 cm", "single gross weight": "60.000 KG", "customization options": "Chat now", "free shipping": "capped at $20", "add to cart": "Chat now", "hobby milling machine": "5 axis milling machine", "spindle_speed_min_rpm": 1400, "spindle_speed_max_rpm": 1400}</t>
  </si>
  <si>
    <t>ZX50c-Mini-Manual-Drilling-Milling-Machine_1601041228635.html.txt</t>
  </si>
  <si>
    <t>4 - 1400 r.p.m</t>
  </si>
  <si>
    <t>ZX50c Mini Manual Drilling Milling Machine Metal Working Machine</t>
  </si>
  <si>
    <t>{"quantity (sets)": "1 - 1", "(1 review)": "1 sold", "custom manufacturer": "4 yrs", "positioning accuracy (mm)": "Â±0.002", "repeatability (x/y/z) (mm)": "Â±0.001", "voltage": "380V,3PHASH or 220V,single phash", "number of axes": "4", "no. of spindles": "1/2/3/4/5/6/7/8", "max. table load(kg)": "2000", "dimension(l*w*h)": "1800*800*1700", "product name": "6090 Cnc Router", "spindle": "2.2kw Water Cooling Spindle", "control system": "NC-studio/Mach3", "software": "Ucancam / ArtCam/TYPE3", "type": "Advertising Cnc Router 6090", "single package size": "150X120X185 cm", "single gross weight": "800.000 KG", "customization options": "Chat now", "free shipping": "capped at $20", "capped at $20": "5-day dispatch", "customizable": "180-day lowest price", "add to cart": "Chat now", "delivery via": "Expect your order to be delivered before scheduled dates or receive a 10% delay compensation"}</t>
  </si>
  <si>
    <t>3 years</t>
  </si>
  <si>
    <t>BT30/40</t>
  </si>
  <si>
    <t>Metal-Milling-Machine-Automatic-Drilling-Machine_1600519579683.html.txt</t>
  </si>
  <si>
    <t>1000 - 24000</t>
  </si>
  <si>
    <t>Metal Milling Machine Automatic Drilling Machine GD400 800 Cnc Metal Milling Machine Making Aluminum Profile Window Door</t>
  </si>
  <si>
    <t>GD800/400/550/1200/2500/3000</t>
  </si>
  <si>
    <t>{"quantity (sets)": "1 - 1", "multispecialty supplier": "2 yrs", "voltage": "380V", "max. table load(kg)": "200", "metal working milling machine": "CNC or Not", "cnc or not": "Normal", "single package size": "140X130X208 cm", "single gross weight": "1000.000 kg", "customization options": "Chat now", "customizable": "&gt;= 1 sets", "&gt;= 1 sets": "$2,500", "shipping": "Shipping fee and delivery date to be negotiated. Chat with supplier now for more details.", "send inquiry": "Chat now", "hobby milling machine": "5 axis milling machine", "spindle_speed_min_rpm": 40, "spindle_speed_max_rpm": 1400}</t>
  </si>
  <si>
    <t>ZX7550-Mini-Vertical-Universal-Milling-Machine_1601453622185.html.txt</t>
  </si>
  <si>
    <t>40 - 1400 r.p.m</t>
  </si>
  <si>
    <t>ZX7550 Mini Vertical Universal Milling Machine New DRO Drilling Milling MT4 Spindle Taper Motor Engine Manual Mills New Gear</t>
  </si>
  <si>
    <t>{"quantity (pieces)": "1 - 1", "drilling milling": "zx7550cw Drilling Milling", "no reviews yet": "1 sold", "1 sold": "Hebei Hebing Technology Co., Ltd.,", "hebei hebing technology co., ltd.,": "1 yr", "voltage": "380v 220v", "max. table load(kg)": "100", "dimension(l*w*h)": "1280X1285X2080mm", "drilling capacity": "50mm", "spindle speed range": "115-1750/60-1350rpm", "max. milling width": "100mm", "milling diameter": "25mm", "spindle stroke": "120mm", "table size": "1000X240mm", "power(w)": "1.5/2.2kw", "product descriptions from the supplier": "&gt;= 1 pieces", "&gt;= 1 pieces": "$2,569", "shipping": "Shipping fee and delivery date to be negotiated. Chat with supplier now for more details.", "send inquiry": "Chat now", "hobby milling machine": "5 axis milling machine", "spindle_speed_min_rpm": 115, "spindle_speed_max_rpm": 1750}</t>
  </si>
  <si>
    <t>3 months</t>
  </si>
  <si>
    <t>ANDUUK-High-precision-ZX7550C-ZX7550CW-Vertical_1601392126870.html.txt</t>
  </si>
  <si>
    <t>ANDUUK High precision ZX7550C ZX7550CW Vertical and Horizontal Milling Machine manual mills</t>
  </si>
  <si>
    <t>{"quantity (sets)": "1 - 1", "tengzhou hoton machinery co., ltd.": "7 yrs", "voltage": "380V 220V 240V or 440V", "max. table load(kg)": "0", "dimension(l*w*h)": "1020x1350x1850mm", "provided": "CNC or Not", "cnc or not": "Normal", "table size": "800x240mm", "spindle travel": "130mm", "weight": "1100KG", "power(w)": "0.75KW", "customization options": "Chat now", "customizable": "&gt;= 1 sets", "&gt;= 1 sets": "$1,500", "shipping": "Shipping fee and delivery date to be negotiated. Chat with supplier now for more details.", "send inquiry": "Chat now", "used cnc milling machine": "5 axis milling machine", "spindle_speed_min_rpm": 10, "spindle_speed_max_rpm": 1110}</t>
  </si>
  <si>
    <t>12 months</t>
  </si>
  <si>
    <t>ISO40</t>
  </si>
  <si>
    <t>Universal-Milling-Drilling-Machine-ZAY7532-Manual_1601375657443.html.txt</t>
  </si>
  <si>
    <t>10 - 1110 r.p.m</t>
  </si>
  <si>
    <t>Universal Milling Drilling Machine ZAY7532 Manual Quill Feed Vertical Horizontal Milling Machine ZAY7532/1</t>
  </si>
  <si>
    <t>ZAY7532 ZAY7540 ZAY7545 ZAY7550</t>
  </si>
  <si>
    <t>{"quantity (sets)": "1 - 1", "voltage": "380", "max. table load(kg)": "599", "dimension(l*w*h)": "150*85*230", "machinery test report": "Not Available", "warranty of core components": "1 Year", "single package size": "1200X85X230 cm", "single gross weight": "1250.000 kg", "product descriptions from the supplier": "&gt;= 1 sets", "&gt;= 1 sets": "$1,500", "shipping": "Shipping fee and delivery date to be negotiated. Chat with supplier now for more details.", "send inquiry": "Chat now", "spindle_speed_min_rpm": 5000, "spindle_speed_max_rpm": 5000}</t>
  </si>
  <si>
    <t>NT30</t>
  </si>
  <si>
    <t>Light-Digital-Display-No-4-Turret_1601294919090.html.txt</t>
  </si>
  <si>
    <t>0 - 5000 r.p.m</t>
  </si>
  <si>
    <t>Light Digital Display No. 4 Turret Milling Machine Second-hand Machine and Small Manual Drilling and Milling Machine ZX40</t>
  </si>
  <si>
    <t>{"quantity (sets)": "1 - 1", "turret milling machine": "4h R8 Spindle Milling Machine", "small milling machine": "4h Vertical Turret Milling Machine", "no reviews yet": "#16", "custom manufacturer": "1 yr", "voltage": "220V, 380V", "max. table load(kg)": "350", "dimension(l*w*h)": "1566x1650x2100", "customization options": "Chat now", "customizable": "1 - 2 sets", "1 - 2 sets": "$2,400", "&gt;= 3 sets": "$2,300", "shipping": "Shipping fee and delivery date to be negotiated. Chat with supplier now for more details.", "send inquiry": "Chat now"}</t>
  </si>
  <si>
    <t>Cheap-Price-Semi-Automatic-Universal-Milling_1601346869947.html.txt</t>
  </si>
  <si>
    <t>75 - 4550</t>
  </si>
  <si>
    <t>Cheap Price Semi-Automatic Universal Milling Machine Vertical Turret 4H/5H Manual Mills</t>
  </si>
  <si>
    <t>{"quantity (pieces)": "1 - 1", "voltage": "220v 380v", "max. table load(kg)": "400", "dimension(l*w*h)": "1550*1650*2250mm", "t slot(number-width-pitch)": "3-16-65mm", "spindle travel": "127mm", "main motor power": "2.2", "head rotation (front - rear)": "Â±45Â°", "head rotation (left - right )": "Â±90Â°", "single package size": "155X165X225 cm", "single gross weight": "1400.000 KG", "customization options": "Chat now", "customizable": "1 - 29 pieces", "1 - 29 pieces": "$2,980", "&gt;= 30 pieces": "$2,580", "shipping": "Shipping fee and delivery date to be negotiated. Chat with supplier now for more details.", "send inquiry": "Chat now", "spindle_speed_min_rpm": 80, "spindle_speed_max_rpm": 5440}</t>
  </si>
  <si>
    <t>ISO40, R8</t>
  </si>
  <si>
    <t>New-High-Quality-4H-Spindle-Turret_1601488716151.html.txt</t>
  </si>
  <si>
    <t>80 - 5440 r.p.m</t>
  </si>
  <si>
    <t>New High Quality 4H  Spindle Turret Milling Machine Universal Vertical 220V General Purpose Manual Mills</t>
  </si>
  <si>
    <t>{"quantity (sets)": "1 - 10", "wuhan mairuiduo trading co., ltd.": "2 yrs", "voltage": "2.2KW", "max. table load(kg)": "100", "product descriptions from the supplier": "1 - 9 sets", "1 - 9 sets": "$3,000", "10 - 99 sets": "$2,800", "&gt;= 100 sets": "$2,500", "shipping": "Shipping fee and delivery date to be negotiated. Chat with supplier now for more details.", "send inquiry": "Chat now", "spindle_speed_min_rpm": 65, "spindle_speed_max_rpm": 5440}</t>
  </si>
  <si>
    <t>Hot-Selling-Vertical-Horizontal-Turret-Universal_1601406791912.html.txt</t>
  </si>
  <si>
    <t>65 - 5440 r.p.m</t>
  </si>
  <si>
    <t>Hot Selling Vertical Horizontal Turret Universal 3H Turret Milling Machine Manual Mills 3 Axes for Manufacturing Plant</t>
  </si>
  <si>
    <t>other_props</t>
  </si>
  <si>
    <t>table_travel_z_mm</t>
  </si>
  <si>
    <t>table_travel_y_mm</t>
  </si>
  <si>
    <t>table travel (y) (mm)</t>
  </si>
  <si>
    <t>table_travel_x_mm</t>
  </si>
  <si>
    <t>dimension_z_mm</t>
  </si>
  <si>
    <t>dimension_y_mm</t>
  </si>
  <si>
    <t>dimension_x_mm</t>
  </si>
  <si>
    <t>lead time (days)</t>
  </si>
  <si>
    <t>warranty</t>
  </si>
  <si>
    <t>spindle_taper</t>
  </si>
  <si>
    <t>weight_kg</t>
  </si>
  <si>
    <t>source_file</t>
  </si>
  <si>
    <t>spindle taper</t>
  </si>
  <si>
    <t>weight (kg)</t>
  </si>
  <si>
    <t>price_usd</t>
  </si>
  <si>
    <t>range of spindle speed(r.p.m)</t>
  </si>
  <si>
    <t>title</t>
  </si>
  <si>
    <t>model</t>
  </si>
  <si>
    <t>Terminal Fee</t>
  </si>
  <si>
    <t>Transport</t>
  </si>
  <si>
    <t>Bond</t>
  </si>
  <si>
    <t>Broker</t>
  </si>
  <si>
    <t>Customs</t>
  </si>
  <si>
    <t>Shipping</t>
  </si>
  <si>
    <t>Real</t>
  </si>
  <si>
    <t>Ideal</t>
  </si>
  <si>
    <t>(311.64+1391)*1.45</t>
  </si>
  <si>
    <t>Continuous (2-range)</t>
  </si>
  <si>
    <t>40–3000 RPM (2-range Var.)</t>
  </si>
  <si>
    <t>R8 taper</t>
  </si>
  <si>
    <t>±90° (tilting head)</t>
  </si>
  <si>
    <t>~500 lbs (227 kg)</t>
  </si>
  <si>
    <t>3″ (76 mm)</t>
  </si>
  <si>
    <t>Geared head + VFD</t>
  </si>
  <si>
    <t>Induction (brushless VFD)</t>
  </si>
  <si>
    <t>1.5 HP AC (with VFD)</t>
  </si>
  <si>
    <t>15″/8.5″ (381/216 mm)</t>
  </si>
  <si>
    <t>~39″×30″×80″ (w/stand)</t>
  </si>
  <si>
    <t>Stepped (6 gears)</t>
  </si>
  <si>
    <t>115–1700 RPM (6-step)</t>
  </si>
  <si>
    <t>Geared head (6 speeds)</t>
  </si>
  <si>
    <t>Induction (no brushes)</t>
  </si>
  <si>
    <t>1 HP AC (Single-phase)</t>
  </si>
  <si>
    <t>Continuous (variable)</t>
  </si>
  <si>
    <t>50–3000 RPM (variable)</t>
  </si>
  <si>
    <t>~530 lbs (240 kg)</t>
  </si>
  <si>
    <t>Belt drive</t>
  </si>
  <si>
    <t>Brushless DC motor</t>
  </si>
  <si>
    <t>2 HP DC (Brushless)</t>
  </si>
  <si>
    <t>23″/8.75″ (584/222 mm)</t>
  </si>
  <si>
    <t>~46″×31″×48″ (bench)</t>
  </si>
  <si>
    <t>80–1700 / 280–5000 RPM</t>
  </si>
  <si>
    <t>Head fixed (no tilt)</t>
  </si>
  <si>
    <t>574 lbs (260 kg)</t>
  </si>
  <si>
    <t>3.1″ (79 mm)</t>
  </si>
  <si>
    <t>Belt + 2-range gearbox</t>
  </si>
  <si>
    <t>19.7″/7.9″ (500/200 mm)</t>
  </si>
  <si>
    <t>37½″×32″×36″ (on stand)</t>
  </si>
  <si>
    <t>Stepped (16-step belt/gear)</t>
  </si>
  <si>
    <t>120–3000 RPM (16 speeds)</t>
  </si>
  <si>
    <t>MT3 (mill)</t>
  </si>
  <si>
    <t>525 lbs (238 kg)</t>
  </si>
  <si>
    <t>4.3″ (110 mm)</t>
  </si>
  <si>
    <t>Belt drive (lathe &amp; mill)</t>
  </si>
  <si>
    <t>Induction (lathe &amp; mill)</t>
  </si>
  <si>
    <t>0.75 HP + 0.75 HP AC (dual)</t>
  </si>
  <si>
    <t>~29″/7½″ (740/190 mm)</t>
  </si>
  <si>
    <t>58″×40½″×40″ (machine)</t>
  </si>
  <si>
    <r>
      <t>Grizzly G9729</t>
    </r>
    <r>
      <rPr>
        <sz val="11"/>
        <color theme="1"/>
        <rFont val="Calibri"/>
        <family val="2"/>
        <scheme val="minor"/>
      </rPr>
      <t xml:space="preserve"> (Lathe/Mill Combo)</t>
    </r>
  </si>
  <si>
    <t>75–4000 RPM (variable)</t>
  </si>
  <si>
    <t>~370 lbs (168 kg)</t>
  </si>
  <si>
    <t>1 HP DC (Brushless)</t>
  </si>
  <si>
    <t>19″/10″ (482/254 mm)</t>
  </si>
  <si>
    <t>~41″×30″×44″ (bench)</t>
  </si>
  <si>
    <r>
      <t>~100–3000 RPM (2 ranges)</t>
    </r>
    <r>
      <rPr>
        <b/>
        <sz val="11"/>
        <color theme="1"/>
        <rFont val="Calibri"/>
        <family val="2"/>
        <scheme val="minor"/>
      </rPr>
      <t>†</t>
    </r>
  </si>
  <si>
    <r>
      <t>R8 (likely)</t>
    </r>
    <r>
      <rPr>
        <b/>
        <sz val="11"/>
        <color theme="1"/>
        <rFont val="Calibri"/>
        <family val="2"/>
        <scheme val="minor"/>
      </rPr>
      <t>†</t>
    </r>
  </si>
  <si>
    <r>
      <t>±90° (head tilt)</t>
    </r>
    <r>
      <rPr>
        <b/>
        <sz val="11"/>
        <color theme="1"/>
        <rFont val="Calibri"/>
        <family val="2"/>
        <scheme val="minor"/>
      </rPr>
      <t>†</t>
    </r>
  </si>
  <si>
    <r>
      <t>~485 lbs (220 kg)</t>
    </r>
    <r>
      <rPr>
        <b/>
        <sz val="11"/>
        <color theme="1"/>
        <rFont val="Calibri"/>
        <family val="2"/>
        <scheme val="minor"/>
      </rPr>
      <t>†</t>
    </r>
  </si>
  <si>
    <r>
      <t>~3.3″ (85 mm)</t>
    </r>
    <r>
      <rPr>
        <b/>
        <sz val="11"/>
        <color theme="1"/>
        <rFont val="Calibri"/>
        <family val="2"/>
        <scheme val="minor"/>
      </rPr>
      <t>†</t>
    </r>
  </si>
  <si>
    <r>
      <t>Belt drive (variable)</t>
    </r>
    <r>
      <rPr>
        <b/>
        <sz val="11"/>
        <color theme="1"/>
        <rFont val="Calibri"/>
        <family val="2"/>
        <scheme val="minor"/>
      </rPr>
      <t>†</t>
    </r>
  </si>
  <si>
    <t>Brushless (likely BLDC)</t>
  </si>
  <si>
    <t>2 HP (1500 W) AC or BLDC</t>
  </si>
  <si>
    <r>
      <t>~16″/8″ (≈400/200 mm)</t>
    </r>
    <r>
      <rPr>
        <b/>
        <sz val="11"/>
        <color theme="1"/>
        <rFont val="Calibri"/>
        <family val="2"/>
        <scheme val="minor"/>
      </rPr>
      <t>†</t>
    </r>
  </si>
  <si>
    <r>
      <t>~36″×32″×40″ (bench)</t>
    </r>
    <r>
      <rPr>
        <b/>
        <sz val="11"/>
        <color theme="1"/>
        <rFont val="Calibri"/>
        <family val="2"/>
        <scheme val="minor"/>
      </rPr>
      <t>†</t>
    </r>
  </si>
  <si>
    <t>Stepped (6 speeds)</t>
  </si>
  <si>
    <t>95–1420 RPM (6-step)</t>
  </si>
  <si>
    <t>MT3 (R8 optional)</t>
  </si>
  <si>
    <t>±90° (head tilt)</t>
  </si>
  <si>
    <t>~375 lbs (170 kg)</t>
  </si>
  <si>
    <t>3.35″ (85 mm)</t>
  </si>
  <si>
    <t>Geared head (manual)</t>
  </si>
  <si>
    <t>1 HP (750 W) AC</t>
  </si>
  <si>
    <t>16.1″/8.1″ (410/205 mm)</t>
  </si>
  <si>
    <t>~37″×32″×36″ (on base)*</t>
  </si>
  <si>
    <t>Stepped (belt/gear)</t>
  </si>
  <si>
    <t>MT3 spindle</t>
  </si>
  <si>
    <t>±45° (head tilt)</t>
  </si>
  <si>
    <t>~450 lbs (205 kg)</t>
  </si>
  <si>
    <t>~39″×31″×47″ (with stand)</t>
  </si>
  <si>
    <t>Stepped (2-range gears)</t>
  </si>
  <si>
    <t>60–1500 RPM (6-step)</t>
  </si>
  <si>
    <t>MT3 or R8</t>
  </si>
  <si>
    <t>±90° (head tilts)</t>
  </si>
  <si>
    <t>~880 lbs (400 kg)</t>
  </si>
  <si>
    <t>4.7″ (120 mm)</t>
  </si>
  <si>
    <t>Geared head</t>
  </si>
  <si>
    <t>1 HP (0.85 kW) AC</t>
  </si>
  <si>
    <t>16.1″/11.2″ (410/285 mm)</t>
  </si>
  <si>
    <t>~34″×35″×75″ (with stand)</t>
  </si>
  <si>
    <t>90–1970 RPM (6-step)</t>
  </si>
  <si>
    <t>MT3/MT4 or R8****</t>
  </si>
  <si>
    <t>±90° (tilts)</t>
  </si>
  <si>
    <t>~660 lbs (300 kg)</t>
  </si>
  <si>
    <t>5.1″ (130 mm)</t>
  </si>
  <si>
    <t>1.5 HP (1.1 kW) AC</t>
  </si>
  <si>
    <t>22.4″/9″ (570/230 mm)</t>
  </si>
  <si>
    <t>~33″×30″×45″ (bench)*</t>
  </si>
  <si>
    <t>Stepped (geared)</t>
  </si>
  <si>
    <t>~80–1500 RPM (6-step)*</t>
  </si>
  <si>
    <t>R8 (standard)</t>
  </si>
  <si>
    <t>~990 lbs (450 kg)</t>
  </si>
  <si>
    <t>5.1″ (130 mm)*</t>
  </si>
  <si>
    <t>2 HP (1.5 kW) AC</t>
  </si>
  <si>
    <t>~19.7″/6.9″ (500/175 mm)</t>
  </si>
  <si>
    <t>~39″×39″×46″ (bench)</t>
  </si>
  <si>
    <t>Stepped (8 gears)</t>
  </si>
  <si>
    <t>115–1750 RPM (8-step)</t>
  </si>
  <si>
    <t>MT4 or R8****</t>
  </si>
  <si>
    <t>±90° (rotates/tilts)</t>
  </si>
  <si>
    <t>~1,100 lbs (500 kg)</t>
  </si>
  <si>
    <t>~23.6″/9″ (600/230 mm)</t>
  </si>
  <si>
    <t>~43″×38″×65″ (bench)</t>
  </si>
  <si>
    <t>Speed Control</t>
  </si>
  <si>
    <t>Spindle Speed Range</t>
  </si>
  <si>
    <t>Head Rotation</t>
  </si>
  <si>
    <t>Weight</t>
  </si>
  <si>
    <t>Quill Travel</t>
  </si>
  <si>
    <t>Drive Type</t>
  </si>
  <si>
    <t>Motor (Construction)</t>
  </si>
  <si>
    <t>Motor (Type)</t>
  </si>
  <si>
    <t>Table Travel (X/Y)</t>
  </si>
  <si>
    <t>Dimensions (L×W×H)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</si>
</sst>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/>
    <xf numFmtId="0" fontId="0" fillId="0" borderId="2" xfId="0" applyBorder="1"/>
    <xf numFmtId="0" fontId="0" fillId="2" borderId="2" xfId="0" applyFill="1" applyBorder="1"/>
    <xf numFmtId="3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0" formatCode="&quot;$&quot;#,##0_);[Red]\(&quot;$&quot;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8DC1A-F41D-44B1-B11F-30A832A8FED2}" name="Table1" displayName="Table1" ref="A1:M22" totalsRowShown="0" headerRowDxfId="15" headerRowBorderDxfId="16" tableBorderDxfId="17">
  <autoFilter ref="A1:M22" xr:uid="{EC08DC1A-F41D-44B1-B11F-30A832A8FED2}"/>
  <sortState xmlns:xlrd2="http://schemas.microsoft.com/office/spreadsheetml/2017/richdata2" ref="A2:M22">
    <sortCondition descending="1" ref="B1:B22"/>
  </sortState>
  <tableColumns count="13">
    <tableColumn id="1" xr3:uid="{268D1294-4611-4D59-B4CF-31E0DC07726E}" name="Model"/>
    <tableColumn id="2" xr3:uid="{1A1F2C25-D3E6-4A1A-A967-DF8922D71C1A}" name="Weight (kg)"/>
    <tableColumn id="3" xr3:uid="{6F8B4824-5475-47CD-956E-2EE88355113F}" name="Quill Travel (mm)"/>
    <tableColumn id="4" xr3:uid="{AB2E6A03-0119-44FA-B041-D451ED5BB272}" name="CNC‑convertible?"/>
    <tableColumn id="5" xr3:uid="{40BD8909-24FE-4651-98E1-3EFF5E38D405}" name="3‑Axis DRO in box?"/>
    <tableColumn id="6" xr3:uid="{2D90B458-521B-4E33-8C35-7D822756C400}" name="Power‑feed?"/>
    <tableColumn id="7" xr3:uid="{2E43540E-F487-4389-9481-E75BFA9F14BC}" name="Motor (HP/type)"/>
    <tableColumn id="8" xr3:uid="{FBBAE111-283B-4756-95E5-BF58A1531696}" name="Ball / Lead‑screw"/>
    <tableColumn id="9" xr3:uid="{6CA6D06E-29F8-477B-B08F-944546599433}" name="Box‑way?"/>
    <tableColumn id="10" xr3:uid="{0EC9B72E-C6AA-444C-AD0B-E6FC8D362CB6}" name="Column style"/>
    <tableColumn id="11" xr3:uid="{BB45FF59-9466-4210-86A4-D06060230268}" name="Spindle Speed (RPM)"/>
    <tableColumn id="12" xr3:uid="{A6AD5007-83DC-4D25-B625-541778741B08}" name="Spindle Taper"/>
    <tableColumn id="13" xr3:uid="{18A13572-A790-4479-91E4-D9E28B43B186}" name="Price (USD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B2E932-4E52-499D-9DEE-B9049538AC6D}" name="Table2" displayName="Table2" ref="A1:C40" totalsRowShown="0">
  <autoFilter ref="A1:C40" xr:uid="{A8B2E932-4E52-499D-9DEE-B9049538AC6D}"/>
  <tableColumns count="3">
    <tableColumn id="1" xr3:uid="{0634F1FB-4EC1-4F14-A6B6-93FD6922D088}" name="Model"/>
    <tableColumn id="2" xr3:uid="{0C849FA2-DF93-4F08-BA41-B09D094B18BB}" name="Price" dataDxfId="14"/>
    <tableColumn id="3" xr3:uid="{68970962-3653-4CE6-A3F7-D31F5446025B}" name="UR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1ADC4B-F7F7-4B85-B333-450BACF86C07}" name="Table14" displayName="Table14" ref="A1:S18" totalsRowShown="0">
  <autoFilter ref="A1:S18" xr:uid="{E42E2FA1-6B61-46F8-9A93-4BB8612AE427}"/>
  <sortState xmlns:xlrd2="http://schemas.microsoft.com/office/spreadsheetml/2017/richdata2" ref="A2:S18">
    <sortCondition descending="1" ref="E1:E18"/>
  </sortState>
  <tableColumns count="19">
    <tableColumn id="11" xr3:uid="{97196275-3588-408D-B7B0-0A0D14870315}" name="model"/>
    <tableColumn id="1" xr3:uid="{8393A0C9-EEEE-4026-8A55-6D5F2EF0E901}" name="title"/>
    <tableColumn id="2" xr3:uid="{001AC41F-C772-48F3-94A4-F60027FB0001}" name="range of spindle speed(r.p.m)"/>
    <tableColumn id="18" xr3:uid="{5A69376E-53E4-43FD-8830-7C8FDFBF059A}" name="price_usd"/>
    <tableColumn id="3" xr3:uid="{B895510C-57BF-4FA1-85CD-E82C52C220FE}" name="weight (kg)"/>
    <tableColumn id="4" xr3:uid="{82BA904F-DCC3-4A03-9177-57AFF42971EC}" name="spindle taper"/>
    <tableColumn id="5" xr3:uid="{E75F9D0B-869E-4B1F-929D-C79AED42DEE9}" name="source_file"/>
    <tableColumn id="6" xr3:uid="{FD693E81-A317-4A06-879E-94E29E1362B3}" name="weight_kg"/>
    <tableColumn id="7" xr3:uid="{34CAA92D-A114-4ADB-8281-96BE2DF59ADD}" name="spindle_taper"/>
    <tableColumn id="8" xr3:uid="{BCE8DDB7-3998-488E-A8B6-636020DFBE32}" name="warranty"/>
    <tableColumn id="9" xr3:uid="{270417BC-C314-4F6B-BBBE-AF8539C784EC}" name="lead time (days)"/>
    <tableColumn id="12" xr3:uid="{B6EC9769-2024-4D7F-A216-3D8D1D116B2B}" name="dimension_x_mm"/>
    <tableColumn id="13" xr3:uid="{D0FA46A9-3F76-42AF-A1E7-E8D94B817CE4}" name="dimension_y_mm"/>
    <tableColumn id="14" xr3:uid="{0D0CCE48-75FF-4B2A-89C0-544F6D522402}" name="dimension_z_mm"/>
    <tableColumn id="15" xr3:uid="{D0349A81-03AB-4CD7-AB85-1998A004E9A4}" name="table_travel_x_mm"/>
    <tableColumn id="10" xr3:uid="{95298986-CD68-48D5-83EF-C134A3CA7568}" name="table travel (y) (mm)"/>
    <tableColumn id="16" xr3:uid="{38DF701F-AB66-4A8E-A161-6DCD81DBD886}" name="table_travel_y_mm"/>
    <tableColumn id="17" xr3:uid="{E10C3420-5424-48E0-BECF-361F0B890FEF}" name="table_travel_z_mm"/>
    <tableColumn id="19" xr3:uid="{4B560A9E-7016-4349-92E9-D179E40BD542}" name="other_prop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5BFC6E-9CD3-4D62-B118-3D80C0113723}" name="Table25" displayName="Table25" ref="A1:L14" totalsRowShown="0" headerRowDxfId="13" dataDxfId="12">
  <autoFilter ref="A1:L14" xr:uid="{8A330006-2075-4EBD-A6CD-D9297DD65163}">
    <filterColumn colId="0">
      <filters>
        <filter val="ZX32G"/>
        <filter val="ZX45"/>
        <filter val="ZX-45G"/>
        <filter val="ZX50C"/>
      </filters>
    </filterColumn>
  </autoFilter>
  <tableColumns count="12">
    <tableColumn id="1" xr3:uid="{56A50F91-30B0-4BD3-BA96-31B69DF5E5C2}" name="Model" dataDxfId="11"/>
    <tableColumn id="2" xr3:uid="{45509CEF-2291-4E28-8531-9FFBC0556A3F}" name="Dimensions (L×W×H)" dataDxfId="10"/>
    <tableColumn id="3" xr3:uid="{F8D3A7CA-C66C-45AD-BB51-14E6F96F3DD7}" name="Table Travel (X/Y)" dataDxfId="9"/>
    <tableColumn id="4" xr3:uid="{0CB8D5EA-0B7F-4EED-AA80-1391E4C3A495}" name="Motor (Type)" dataDxfId="8"/>
    <tableColumn id="5" xr3:uid="{F1DF6ABB-7368-4D39-AE2F-602DF9C4F9B6}" name="Motor (Construction)" dataDxfId="7"/>
    <tableColumn id="6" xr3:uid="{16AECC3B-C2B3-45D5-9205-544813D6B855}" name="Drive Type" dataDxfId="6"/>
    <tableColumn id="7" xr3:uid="{D5B1E39C-3B8B-48EE-A0F2-D869538DEF6B}" name="Quill Travel" dataDxfId="5"/>
    <tableColumn id="8" xr3:uid="{39ADED39-3F24-4316-A935-FFFA6DEBD737}" name="Weight" dataDxfId="4"/>
    <tableColumn id="9" xr3:uid="{13B546A6-DADC-4A93-8881-CA6FE51F597F}" name="Head Rotation" dataDxfId="3"/>
    <tableColumn id="10" xr3:uid="{2A1C587E-5389-4C25-8E3A-571F220CA718}" name="Spindle Taper" dataDxfId="2"/>
    <tableColumn id="11" xr3:uid="{1F947F92-8930-4DEF-B646-1E7937B07200}" name="Spindle Speed Range" dataDxfId="1"/>
    <tableColumn id="12" xr3:uid="{38549FC3-8F43-4267-9C19-481D998BC5A3}" name="Speed Contro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activeCell="F28" sqref="F28"/>
    </sheetView>
  </sheetViews>
  <sheetFormatPr defaultRowHeight="15" x14ac:dyDescent="0.25"/>
  <cols>
    <col min="1" max="1" width="21.140625" bestFit="1" customWidth="1"/>
    <col min="2" max="2" width="13.5703125" customWidth="1"/>
    <col min="3" max="3" width="18.5703125" customWidth="1"/>
    <col min="4" max="4" width="18.85546875" customWidth="1"/>
    <col min="5" max="5" width="19.85546875" customWidth="1"/>
    <col min="6" max="6" width="14.85546875" customWidth="1"/>
    <col min="7" max="7" width="24.140625" bestFit="1" customWidth="1"/>
    <col min="8" max="8" width="18.28515625" customWidth="1"/>
    <col min="9" max="9" width="11.85546875" customWidth="1"/>
    <col min="10" max="10" width="14.7109375" customWidth="1"/>
    <col min="11" max="11" width="21.85546875" customWidth="1"/>
    <col min="12" max="12" width="15.28515625" customWidth="1"/>
    <col min="13" max="13" width="13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500</v>
      </c>
      <c r="C2">
        <v>120</v>
      </c>
      <c r="D2" t="s">
        <v>34</v>
      </c>
      <c r="E2" t="s">
        <v>38</v>
      </c>
      <c r="F2" t="s">
        <v>37</v>
      </c>
      <c r="G2" t="s">
        <v>43</v>
      </c>
      <c r="H2" t="s">
        <v>60</v>
      </c>
      <c r="I2" t="s">
        <v>37</v>
      </c>
      <c r="J2" t="s">
        <v>62</v>
      </c>
      <c r="K2" t="s">
        <v>66</v>
      </c>
      <c r="L2" t="s">
        <v>86</v>
      </c>
      <c r="M2" t="s">
        <v>91</v>
      </c>
    </row>
    <row r="3" spans="1:13" x14ac:dyDescent="0.25">
      <c r="A3" t="s">
        <v>26</v>
      </c>
      <c r="B3">
        <v>499</v>
      </c>
      <c r="C3">
        <v>127</v>
      </c>
      <c r="D3" t="s">
        <v>34</v>
      </c>
      <c r="E3" t="s">
        <v>38</v>
      </c>
      <c r="F3" t="s">
        <v>41</v>
      </c>
      <c r="G3" t="s">
        <v>54</v>
      </c>
      <c r="H3" t="s">
        <v>60</v>
      </c>
      <c r="I3" t="s">
        <v>37</v>
      </c>
      <c r="J3" t="s">
        <v>63</v>
      </c>
      <c r="K3" t="s">
        <v>79</v>
      </c>
      <c r="L3" t="s">
        <v>87</v>
      </c>
      <c r="M3" t="s">
        <v>103</v>
      </c>
    </row>
    <row r="4" spans="1:13" x14ac:dyDescent="0.25">
      <c r="A4" t="s">
        <v>31</v>
      </c>
      <c r="B4">
        <v>385</v>
      </c>
      <c r="C4">
        <v>119</v>
      </c>
      <c r="D4" t="s">
        <v>34</v>
      </c>
      <c r="E4" t="s">
        <v>37</v>
      </c>
      <c r="F4" t="s">
        <v>42</v>
      </c>
      <c r="G4" t="s">
        <v>58</v>
      </c>
      <c r="H4" t="s">
        <v>60</v>
      </c>
      <c r="I4" t="s">
        <v>37</v>
      </c>
      <c r="J4" t="s">
        <v>62</v>
      </c>
      <c r="K4" t="s">
        <v>83</v>
      </c>
      <c r="L4" t="s">
        <v>87</v>
      </c>
      <c r="M4" t="s">
        <v>108</v>
      </c>
    </row>
    <row r="5" spans="1:13" x14ac:dyDescent="0.25">
      <c r="A5" t="s">
        <v>25</v>
      </c>
      <c r="B5">
        <v>363</v>
      </c>
      <c r="C5">
        <v>121</v>
      </c>
      <c r="D5" t="s">
        <v>34</v>
      </c>
      <c r="E5" t="s">
        <v>37</v>
      </c>
      <c r="F5" t="s">
        <v>40</v>
      </c>
      <c r="G5" t="s">
        <v>53</v>
      </c>
      <c r="H5" t="s">
        <v>60</v>
      </c>
      <c r="I5" t="s">
        <v>37</v>
      </c>
      <c r="J5" t="s">
        <v>63</v>
      </c>
      <c r="K5" t="s">
        <v>78</v>
      </c>
      <c r="L5" t="s">
        <v>87</v>
      </c>
      <c r="M5" t="s">
        <v>102</v>
      </c>
    </row>
    <row r="6" spans="1:13" x14ac:dyDescent="0.25">
      <c r="A6" t="s">
        <v>30</v>
      </c>
      <c r="B6">
        <v>340</v>
      </c>
      <c r="C6">
        <v>119</v>
      </c>
      <c r="D6" t="s">
        <v>34</v>
      </c>
      <c r="E6" t="s">
        <v>37</v>
      </c>
      <c r="F6" t="s">
        <v>37</v>
      </c>
      <c r="G6" t="s">
        <v>58</v>
      </c>
      <c r="H6" t="s">
        <v>60</v>
      </c>
      <c r="I6" t="s">
        <v>37</v>
      </c>
      <c r="J6" t="s">
        <v>62</v>
      </c>
      <c r="K6" t="s">
        <v>83</v>
      </c>
      <c r="L6" t="s">
        <v>87</v>
      </c>
      <c r="M6" t="s">
        <v>107</v>
      </c>
    </row>
    <row r="7" spans="1:13" x14ac:dyDescent="0.25">
      <c r="A7" t="s">
        <v>15</v>
      </c>
      <c r="B7">
        <v>300</v>
      </c>
      <c r="C7">
        <v>120</v>
      </c>
      <c r="D7" t="s">
        <v>34</v>
      </c>
      <c r="E7" t="s">
        <v>38</v>
      </c>
      <c r="F7" t="s">
        <v>38</v>
      </c>
      <c r="G7" t="s">
        <v>45</v>
      </c>
      <c r="H7" t="s">
        <v>60</v>
      </c>
      <c r="I7" t="s">
        <v>37</v>
      </c>
      <c r="J7" t="s">
        <v>63</v>
      </c>
      <c r="K7" t="s">
        <v>68</v>
      </c>
      <c r="L7" t="s">
        <v>87</v>
      </c>
      <c r="M7" t="s">
        <v>93</v>
      </c>
    </row>
    <row r="8" spans="1:13" x14ac:dyDescent="0.25">
      <c r="A8" t="s">
        <v>16</v>
      </c>
      <c r="B8">
        <v>300</v>
      </c>
      <c r="C8">
        <v>120</v>
      </c>
      <c r="D8" t="s">
        <v>34</v>
      </c>
      <c r="E8" t="s">
        <v>37</v>
      </c>
      <c r="F8" t="s">
        <v>38</v>
      </c>
      <c r="G8" t="s">
        <v>43</v>
      </c>
      <c r="H8" t="s">
        <v>60</v>
      </c>
      <c r="I8" t="s">
        <v>37</v>
      </c>
      <c r="J8" t="s">
        <v>63</v>
      </c>
      <c r="K8" t="s">
        <v>69</v>
      </c>
      <c r="L8" t="s">
        <v>88</v>
      </c>
      <c r="M8" t="s">
        <v>94</v>
      </c>
    </row>
    <row r="9" spans="1:13" x14ac:dyDescent="0.25">
      <c r="A9" t="s">
        <v>17</v>
      </c>
      <c r="B9">
        <v>280</v>
      </c>
      <c r="C9">
        <v>130</v>
      </c>
      <c r="D9" t="s">
        <v>34</v>
      </c>
      <c r="E9" t="s">
        <v>37</v>
      </c>
      <c r="F9" t="s">
        <v>37</v>
      </c>
      <c r="G9" t="s">
        <v>46</v>
      </c>
      <c r="H9" t="s">
        <v>60</v>
      </c>
      <c r="I9" t="s">
        <v>37</v>
      </c>
      <c r="J9" t="s">
        <v>62</v>
      </c>
      <c r="K9" t="s">
        <v>70</v>
      </c>
      <c r="L9" t="s">
        <v>89</v>
      </c>
      <c r="M9" t="s">
        <v>95</v>
      </c>
    </row>
    <row r="10" spans="1:13" x14ac:dyDescent="0.25">
      <c r="A10" t="s">
        <v>14</v>
      </c>
      <c r="B10">
        <v>270</v>
      </c>
      <c r="C10">
        <v>120</v>
      </c>
      <c r="D10" t="s">
        <v>34</v>
      </c>
      <c r="E10" t="s">
        <v>38</v>
      </c>
      <c r="F10" t="s">
        <v>39</v>
      </c>
      <c r="G10" t="s">
        <v>44</v>
      </c>
      <c r="H10" t="s">
        <v>60</v>
      </c>
      <c r="I10" t="s">
        <v>37</v>
      </c>
      <c r="J10" t="s">
        <v>63</v>
      </c>
      <c r="K10" t="s">
        <v>67</v>
      </c>
      <c r="L10" t="s">
        <v>87</v>
      </c>
      <c r="M10" t="s">
        <v>92</v>
      </c>
    </row>
    <row r="11" spans="1:13" x14ac:dyDescent="0.25">
      <c r="A11" t="s">
        <v>32</v>
      </c>
      <c r="B11">
        <v>260</v>
      </c>
      <c r="D11" t="s">
        <v>36</v>
      </c>
      <c r="E11" t="s">
        <v>34</v>
      </c>
      <c r="F11" t="s">
        <v>37</v>
      </c>
      <c r="G11" t="s">
        <v>51</v>
      </c>
      <c r="H11" t="s">
        <v>60</v>
      </c>
      <c r="I11" t="s">
        <v>37</v>
      </c>
      <c r="J11" t="s">
        <v>63</v>
      </c>
      <c r="K11" t="s">
        <v>84</v>
      </c>
      <c r="L11" t="s">
        <v>87</v>
      </c>
      <c r="M11" t="s">
        <v>109</v>
      </c>
    </row>
    <row r="12" spans="1:13" x14ac:dyDescent="0.25">
      <c r="A12" t="s">
        <v>21</v>
      </c>
      <c r="B12">
        <v>240</v>
      </c>
      <c r="C12">
        <v>76</v>
      </c>
      <c r="D12" t="s">
        <v>34</v>
      </c>
      <c r="E12" t="s">
        <v>38</v>
      </c>
      <c r="F12" t="s">
        <v>40</v>
      </c>
      <c r="G12" t="s">
        <v>49</v>
      </c>
      <c r="H12" t="s">
        <v>60</v>
      </c>
      <c r="I12" t="s">
        <v>37</v>
      </c>
      <c r="J12" t="s">
        <v>63</v>
      </c>
      <c r="K12" t="s">
        <v>74</v>
      </c>
      <c r="L12" t="s">
        <v>87</v>
      </c>
      <c r="M12" t="s">
        <v>98</v>
      </c>
    </row>
    <row r="13" spans="1:13" x14ac:dyDescent="0.25">
      <c r="A13" t="s">
        <v>22</v>
      </c>
      <c r="B13">
        <v>234</v>
      </c>
      <c r="C13">
        <v>76</v>
      </c>
      <c r="D13" t="s">
        <v>34</v>
      </c>
      <c r="E13" t="s">
        <v>37</v>
      </c>
      <c r="F13" t="s">
        <v>40</v>
      </c>
      <c r="G13" t="s">
        <v>50</v>
      </c>
      <c r="H13" t="s">
        <v>60</v>
      </c>
      <c r="I13" t="s">
        <v>37</v>
      </c>
      <c r="J13" t="s">
        <v>63</v>
      </c>
      <c r="K13" t="s">
        <v>75</v>
      </c>
      <c r="L13" t="s">
        <v>87</v>
      </c>
      <c r="M13" t="s">
        <v>99</v>
      </c>
    </row>
    <row r="14" spans="1:13" x14ac:dyDescent="0.25">
      <c r="A14" t="s">
        <v>23</v>
      </c>
      <c r="B14">
        <v>234</v>
      </c>
      <c r="C14">
        <v>76</v>
      </c>
      <c r="D14" t="s">
        <v>34</v>
      </c>
      <c r="E14" t="s">
        <v>37</v>
      </c>
      <c r="F14" t="s">
        <v>40</v>
      </c>
      <c r="G14" t="s">
        <v>51</v>
      </c>
      <c r="H14" t="s">
        <v>60</v>
      </c>
      <c r="I14" t="s">
        <v>37</v>
      </c>
      <c r="J14" t="s">
        <v>63</v>
      </c>
      <c r="K14" t="s">
        <v>76</v>
      </c>
      <c r="L14" t="s">
        <v>87</v>
      </c>
      <c r="M14" t="s">
        <v>100</v>
      </c>
    </row>
    <row r="15" spans="1:13" x14ac:dyDescent="0.25">
      <c r="A15" t="s">
        <v>19</v>
      </c>
      <c r="B15">
        <v>232</v>
      </c>
      <c r="C15">
        <v>85</v>
      </c>
      <c r="D15" t="s">
        <v>34</v>
      </c>
      <c r="E15" t="s">
        <v>37</v>
      </c>
      <c r="F15" t="s">
        <v>37</v>
      </c>
      <c r="G15" t="s">
        <v>46</v>
      </c>
      <c r="H15" t="s">
        <v>60</v>
      </c>
      <c r="I15" t="s">
        <v>37</v>
      </c>
      <c r="J15" t="s">
        <v>62</v>
      </c>
      <c r="K15" t="s">
        <v>72</v>
      </c>
      <c r="L15" t="s">
        <v>88</v>
      </c>
      <c r="M15" t="s">
        <v>94</v>
      </c>
    </row>
    <row r="16" spans="1:13" x14ac:dyDescent="0.25">
      <c r="A16" t="s">
        <v>33</v>
      </c>
      <c r="B16">
        <v>200</v>
      </c>
      <c r="C16">
        <v>64</v>
      </c>
      <c r="D16" t="s">
        <v>37</v>
      </c>
      <c r="E16" t="s">
        <v>37</v>
      </c>
      <c r="F16" t="s">
        <v>37</v>
      </c>
      <c r="G16" t="s">
        <v>59</v>
      </c>
      <c r="H16" t="s">
        <v>60</v>
      </c>
      <c r="I16" t="s">
        <v>37</v>
      </c>
      <c r="J16" t="s">
        <v>65</v>
      </c>
      <c r="K16" t="s">
        <v>85</v>
      </c>
      <c r="L16" t="s">
        <v>90</v>
      </c>
      <c r="M16" t="s">
        <v>110</v>
      </c>
    </row>
    <row r="17" spans="1:13" x14ac:dyDescent="0.25">
      <c r="A17" t="s">
        <v>18</v>
      </c>
      <c r="B17">
        <v>190</v>
      </c>
      <c r="C17">
        <v>110</v>
      </c>
      <c r="D17" t="s">
        <v>34</v>
      </c>
      <c r="E17" t="s">
        <v>37</v>
      </c>
      <c r="F17" t="s">
        <v>37</v>
      </c>
      <c r="G17" t="s">
        <v>47</v>
      </c>
      <c r="H17" t="s">
        <v>60</v>
      </c>
      <c r="I17" t="s">
        <v>37</v>
      </c>
      <c r="J17" t="s">
        <v>62</v>
      </c>
      <c r="K17" t="s">
        <v>71</v>
      </c>
      <c r="L17" t="s">
        <v>89</v>
      </c>
      <c r="M17" t="s">
        <v>96</v>
      </c>
    </row>
    <row r="18" spans="1:13" x14ac:dyDescent="0.25">
      <c r="A18" t="s">
        <v>24</v>
      </c>
      <c r="B18">
        <v>186</v>
      </c>
      <c r="C18">
        <v>76</v>
      </c>
      <c r="D18" t="s">
        <v>34</v>
      </c>
      <c r="E18" t="s">
        <v>38</v>
      </c>
      <c r="F18" t="s">
        <v>40</v>
      </c>
      <c r="G18" t="s">
        <v>52</v>
      </c>
      <c r="H18" t="s">
        <v>61</v>
      </c>
      <c r="I18" t="s">
        <v>37</v>
      </c>
      <c r="J18" t="s">
        <v>63</v>
      </c>
      <c r="K18" t="s">
        <v>77</v>
      </c>
      <c r="L18" t="s">
        <v>87</v>
      </c>
      <c r="M18" t="s">
        <v>101</v>
      </c>
    </row>
    <row r="19" spans="1:13" x14ac:dyDescent="0.25">
      <c r="A19" t="s">
        <v>29</v>
      </c>
      <c r="B19">
        <v>178</v>
      </c>
      <c r="C19">
        <v>51</v>
      </c>
      <c r="D19" t="s">
        <v>34</v>
      </c>
      <c r="E19" t="s">
        <v>34</v>
      </c>
      <c r="F19" t="s">
        <v>37</v>
      </c>
      <c r="G19" t="s">
        <v>57</v>
      </c>
      <c r="H19" t="s">
        <v>60</v>
      </c>
      <c r="I19" t="s">
        <v>37</v>
      </c>
      <c r="J19" t="s">
        <v>63</v>
      </c>
      <c r="K19" t="s">
        <v>82</v>
      </c>
      <c r="L19" t="s">
        <v>87</v>
      </c>
      <c r="M19" t="s">
        <v>106</v>
      </c>
    </row>
    <row r="20" spans="1:13" x14ac:dyDescent="0.25">
      <c r="A20" t="s">
        <v>20</v>
      </c>
      <c r="B20">
        <v>159</v>
      </c>
      <c r="C20">
        <v>51</v>
      </c>
      <c r="D20" t="s">
        <v>34</v>
      </c>
      <c r="E20" t="s">
        <v>38</v>
      </c>
      <c r="F20" t="s">
        <v>40</v>
      </c>
      <c r="G20" t="s">
        <v>48</v>
      </c>
      <c r="H20" t="s">
        <v>60</v>
      </c>
      <c r="I20" t="s">
        <v>37</v>
      </c>
      <c r="J20" t="s">
        <v>63</v>
      </c>
      <c r="K20" t="s">
        <v>73</v>
      </c>
      <c r="L20" t="s">
        <v>87</v>
      </c>
      <c r="M20" t="s">
        <v>97</v>
      </c>
    </row>
    <row r="21" spans="1:13" x14ac:dyDescent="0.25">
      <c r="A21" t="s">
        <v>28</v>
      </c>
      <c r="B21">
        <v>145</v>
      </c>
      <c r="C21">
        <v>51</v>
      </c>
      <c r="D21" t="s">
        <v>34</v>
      </c>
      <c r="E21" t="s">
        <v>37</v>
      </c>
      <c r="F21" t="s">
        <v>37</v>
      </c>
      <c r="G21" t="s">
        <v>56</v>
      </c>
      <c r="H21" t="s">
        <v>60</v>
      </c>
      <c r="I21" t="s">
        <v>37</v>
      </c>
      <c r="J21" t="s">
        <v>63</v>
      </c>
      <c r="K21" t="s">
        <v>81</v>
      </c>
      <c r="L21" t="s">
        <v>87</v>
      </c>
      <c r="M21" t="s">
        <v>105</v>
      </c>
    </row>
    <row r="22" spans="1:13" x14ac:dyDescent="0.25">
      <c r="A22" t="s">
        <v>27</v>
      </c>
      <c r="B22">
        <v>62</v>
      </c>
      <c r="C22">
        <v>51</v>
      </c>
      <c r="D22" t="s">
        <v>35</v>
      </c>
      <c r="E22" t="s">
        <v>37</v>
      </c>
      <c r="F22" t="s">
        <v>37</v>
      </c>
      <c r="G22" t="s">
        <v>55</v>
      </c>
      <c r="H22" t="s">
        <v>60</v>
      </c>
      <c r="I22" t="s">
        <v>37</v>
      </c>
      <c r="J22" t="s">
        <v>64</v>
      </c>
      <c r="K22" t="s">
        <v>80</v>
      </c>
      <c r="L22" t="s">
        <v>87</v>
      </c>
      <c r="M22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29E5-D769-4E28-99B6-1EEA0BBE61A8}">
  <dimension ref="A1:C40"/>
  <sheetViews>
    <sheetView workbookViewId="0">
      <selection activeCell="B32" sqref="B32"/>
    </sheetView>
  </sheetViews>
  <sheetFormatPr defaultRowHeight="15" x14ac:dyDescent="0.25"/>
  <cols>
    <col min="1" max="1" width="13.5703125" bestFit="1" customWidth="1"/>
    <col min="2" max="2" width="11.85546875" bestFit="1" customWidth="1"/>
    <col min="3" max="3" width="107" bestFit="1" customWidth="1"/>
  </cols>
  <sheetData>
    <row r="1" spans="1:3" x14ac:dyDescent="0.25">
      <c r="A1" t="s">
        <v>0</v>
      </c>
      <c r="B1" t="s">
        <v>111</v>
      </c>
      <c r="C1" t="s">
        <v>112</v>
      </c>
    </row>
    <row r="2" spans="1:3" x14ac:dyDescent="0.25">
      <c r="A2" t="s">
        <v>113</v>
      </c>
      <c r="B2" s="4">
        <v>1120</v>
      </c>
      <c r="C2" t="s">
        <v>114</v>
      </c>
    </row>
    <row r="3" spans="1:3" x14ac:dyDescent="0.25">
      <c r="A3" t="s">
        <v>115</v>
      </c>
      <c r="B3" t="s">
        <v>116</v>
      </c>
      <c r="C3" t="s">
        <v>117</v>
      </c>
    </row>
    <row r="4" spans="1:3" x14ac:dyDescent="0.25">
      <c r="A4" t="s">
        <v>118</v>
      </c>
      <c r="B4" t="s">
        <v>119</v>
      </c>
      <c r="C4" t="s">
        <v>120</v>
      </c>
    </row>
    <row r="5" spans="1:3" x14ac:dyDescent="0.25">
      <c r="A5" t="s">
        <v>121</v>
      </c>
      <c r="B5" t="s">
        <v>122</v>
      </c>
      <c r="C5" t="s">
        <v>123</v>
      </c>
    </row>
    <row r="6" spans="1:3" x14ac:dyDescent="0.25">
      <c r="A6" t="s">
        <v>124</v>
      </c>
      <c r="B6" t="s">
        <v>125</v>
      </c>
      <c r="C6" t="s">
        <v>126</v>
      </c>
    </row>
    <row r="7" spans="1:3" x14ac:dyDescent="0.25">
      <c r="A7" t="s">
        <v>127</v>
      </c>
      <c r="B7" s="4">
        <v>1450</v>
      </c>
      <c r="C7" t="s">
        <v>128</v>
      </c>
    </row>
    <row r="8" spans="1:3" x14ac:dyDescent="0.25">
      <c r="A8" t="s">
        <v>129</v>
      </c>
      <c r="B8" t="s">
        <v>116</v>
      </c>
      <c r="C8" t="s">
        <v>130</v>
      </c>
    </row>
    <row r="9" spans="1:3" x14ac:dyDescent="0.25">
      <c r="A9" t="s">
        <v>131</v>
      </c>
      <c r="B9" t="s">
        <v>132</v>
      </c>
      <c r="C9" t="s">
        <v>133</v>
      </c>
    </row>
    <row r="10" spans="1:3" x14ac:dyDescent="0.25">
      <c r="A10" t="s">
        <v>134</v>
      </c>
      <c r="B10" t="s">
        <v>135</v>
      </c>
      <c r="C10" t="s">
        <v>136</v>
      </c>
    </row>
    <row r="11" spans="1:3" x14ac:dyDescent="0.25">
      <c r="A11" t="s">
        <v>137</v>
      </c>
      <c r="B11" t="s">
        <v>138</v>
      </c>
      <c r="C11" t="s">
        <v>139</v>
      </c>
    </row>
    <row r="12" spans="1:3" x14ac:dyDescent="0.25">
      <c r="A12" t="s">
        <v>140</v>
      </c>
      <c r="B12" t="s">
        <v>141</v>
      </c>
      <c r="C12" t="s">
        <v>142</v>
      </c>
    </row>
    <row r="13" spans="1:3" x14ac:dyDescent="0.25">
      <c r="A13" t="s">
        <v>143</v>
      </c>
      <c r="B13" t="s">
        <v>144</v>
      </c>
      <c r="C13" t="s">
        <v>145</v>
      </c>
    </row>
    <row r="14" spans="1:3" x14ac:dyDescent="0.25">
      <c r="A14" t="s">
        <v>146</v>
      </c>
      <c r="B14" s="4">
        <v>1745</v>
      </c>
      <c r="C14" t="s">
        <v>147</v>
      </c>
    </row>
    <row r="15" spans="1:3" x14ac:dyDescent="0.25">
      <c r="A15" t="s">
        <v>148</v>
      </c>
      <c r="B15" t="s">
        <v>149</v>
      </c>
      <c r="C15" t="s">
        <v>150</v>
      </c>
    </row>
    <row r="16" spans="1:3" x14ac:dyDescent="0.25">
      <c r="A16" t="s">
        <v>151</v>
      </c>
      <c r="B16" t="s">
        <v>138</v>
      </c>
      <c r="C16" t="s">
        <v>152</v>
      </c>
    </row>
    <row r="17" spans="1:3" x14ac:dyDescent="0.25">
      <c r="A17" t="s">
        <v>153</v>
      </c>
      <c r="B17" s="4">
        <v>1500</v>
      </c>
      <c r="C17" t="s">
        <v>154</v>
      </c>
    </row>
    <row r="18" spans="1:3" x14ac:dyDescent="0.25">
      <c r="A18" t="s">
        <v>155</v>
      </c>
      <c r="B18" t="s">
        <v>156</v>
      </c>
      <c r="C18" t="s">
        <v>157</v>
      </c>
    </row>
    <row r="19" spans="1:3" x14ac:dyDescent="0.25">
      <c r="A19" t="s">
        <v>158</v>
      </c>
      <c r="B19" s="4">
        <v>2185</v>
      </c>
      <c r="C19" t="s">
        <v>159</v>
      </c>
    </row>
    <row r="20" spans="1:3" x14ac:dyDescent="0.25">
      <c r="A20" t="s">
        <v>160</v>
      </c>
      <c r="B20" s="4">
        <v>1500</v>
      </c>
      <c r="C20" t="s">
        <v>161</v>
      </c>
    </row>
    <row r="21" spans="1:3" x14ac:dyDescent="0.25">
      <c r="A21" t="s">
        <v>162</v>
      </c>
      <c r="B21" t="s">
        <v>163</v>
      </c>
      <c r="C21" t="s">
        <v>164</v>
      </c>
    </row>
    <row r="22" spans="1:3" x14ac:dyDescent="0.25">
      <c r="A22" t="s">
        <v>162</v>
      </c>
      <c r="B22" s="4">
        <v>1015</v>
      </c>
      <c r="C22" t="s">
        <v>165</v>
      </c>
    </row>
    <row r="23" spans="1:3" x14ac:dyDescent="0.25">
      <c r="A23" t="s">
        <v>166</v>
      </c>
      <c r="B23" s="4">
        <v>1099</v>
      </c>
      <c r="C23" t="s">
        <v>167</v>
      </c>
    </row>
    <row r="24" spans="1:3" x14ac:dyDescent="0.25">
      <c r="A24" t="s">
        <v>168</v>
      </c>
      <c r="B24" t="s">
        <v>169</v>
      </c>
      <c r="C24" t="s">
        <v>170</v>
      </c>
    </row>
    <row r="25" spans="1:3" x14ac:dyDescent="0.25">
      <c r="A25" t="s">
        <v>168</v>
      </c>
      <c r="B25" s="4">
        <v>1950</v>
      </c>
      <c r="C25" t="s">
        <v>171</v>
      </c>
    </row>
    <row r="26" spans="1:3" x14ac:dyDescent="0.25">
      <c r="A26" t="s">
        <v>172</v>
      </c>
      <c r="B26" t="s">
        <v>132</v>
      </c>
      <c r="C26" t="s">
        <v>173</v>
      </c>
    </row>
    <row r="27" spans="1:3" x14ac:dyDescent="0.25">
      <c r="A27" t="s">
        <v>174</v>
      </c>
      <c r="B27" t="s">
        <v>175</v>
      </c>
      <c r="C27" t="s">
        <v>176</v>
      </c>
    </row>
    <row r="28" spans="1:3" x14ac:dyDescent="0.25">
      <c r="A28" t="s">
        <v>177</v>
      </c>
      <c r="B28" t="s">
        <v>178</v>
      </c>
      <c r="C28" t="s">
        <v>179</v>
      </c>
    </row>
    <row r="29" spans="1:3" x14ac:dyDescent="0.25">
      <c r="A29" t="s">
        <v>180</v>
      </c>
      <c r="B29" s="4">
        <v>2200</v>
      </c>
      <c r="C29" t="s">
        <v>181</v>
      </c>
    </row>
    <row r="30" spans="1:3" x14ac:dyDescent="0.25">
      <c r="A30" t="s">
        <v>182</v>
      </c>
      <c r="B30" t="s">
        <v>175</v>
      </c>
      <c r="C30" t="s">
        <v>183</v>
      </c>
    </row>
    <row r="31" spans="1:3" x14ac:dyDescent="0.25">
      <c r="A31" t="s">
        <v>184</v>
      </c>
      <c r="B31" s="4">
        <v>1500</v>
      </c>
      <c r="C31" t="s">
        <v>185</v>
      </c>
    </row>
    <row r="32" spans="1:3" x14ac:dyDescent="0.25">
      <c r="A32" t="s">
        <v>186</v>
      </c>
      <c r="B32" t="s">
        <v>187</v>
      </c>
      <c r="C32" t="s">
        <v>188</v>
      </c>
    </row>
    <row r="33" spans="1:3" x14ac:dyDescent="0.25">
      <c r="A33" t="s">
        <v>189</v>
      </c>
      <c r="B33" t="s">
        <v>116</v>
      </c>
      <c r="C33" t="s">
        <v>190</v>
      </c>
    </row>
    <row r="34" spans="1:3" x14ac:dyDescent="0.25">
      <c r="A34" t="s">
        <v>191</v>
      </c>
      <c r="B34" t="s">
        <v>192</v>
      </c>
      <c r="C34" t="s">
        <v>193</v>
      </c>
    </row>
    <row r="35" spans="1:3" x14ac:dyDescent="0.25">
      <c r="A35" t="s">
        <v>194</v>
      </c>
      <c r="B35" s="4">
        <v>2500</v>
      </c>
      <c r="C35" t="s">
        <v>195</v>
      </c>
    </row>
    <row r="36" spans="1:3" x14ac:dyDescent="0.25">
      <c r="A36" t="s">
        <v>196</v>
      </c>
      <c r="B36" s="4">
        <v>2569</v>
      </c>
      <c r="C36" t="s">
        <v>197</v>
      </c>
    </row>
    <row r="37" spans="1:3" x14ac:dyDescent="0.25">
      <c r="A37" t="s">
        <v>198</v>
      </c>
      <c r="B37" t="s">
        <v>199</v>
      </c>
      <c r="C37" t="s">
        <v>200</v>
      </c>
    </row>
    <row r="38" spans="1:3" x14ac:dyDescent="0.25">
      <c r="A38" t="s">
        <v>201</v>
      </c>
      <c r="B38" t="s">
        <v>132</v>
      </c>
      <c r="C38" t="s">
        <v>202</v>
      </c>
    </row>
    <row r="39" spans="1:3" x14ac:dyDescent="0.25">
      <c r="A39" t="s">
        <v>203</v>
      </c>
      <c r="B39" s="4">
        <v>1795</v>
      </c>
      <c r="C39" t="s">
        <v>204</v>
      </c>
    </row>
    <row r="40" spans="1:3" x14ac:dyDescent="0.25">
      <c r="A40" t="s">
        <v>205</v>
      </c>
      <c r="B40" s="4">
        <v>1995</v>
      </c>
      <c r="C40" t="s">
        <v>206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DB82-DF83-40DD-98D3-BE1030509699}">
  <dimension ref="A1:S30"/>
  <sheetViews>
    <sheetView workbookViewId="0">
      <selection activeCell="C11" sqref="C11"/>
    </sheetView>
  </sheetViews>
  <sheetFormatPr defaultRowHeight="15" x14ac:dyDescent="0.25"/>
  <cols>
    <col min="2" max="2" width="12.7109375" customWidth="1"/>
    <col min="3" max="3" width="13" customWidth="1"/>
    <col min="4" max="4" width="15" customWidth="1"/>
    <col min="5" max="5" width="13.140625" customWidth="1"/>
    <col min="6" max="6" width="12" customWidth="1"/>
    <col min="7" max="7" width="15.42578125" customWidth="1"/>
    <col min="8" max="8" width="10.85546875" hidden="1" customWidth="1"/>
    <col min="9" max="9" width="17.5703125" hidden="1" customWidth="1"/>
    <col min="10" max="10" width="21.42578125" customWidth="1"/>
    <col min="12" max="12" width="22.5703125" customWidth="1"/>
    <col min="13" max="13" width="18.85546875" customWidth="1"/>
    <col min="14" max="14" width="18.7109375" customWidth="1"/>
    <col min="15" max="15" width="19.85546875" customWidth="1"/>
    <col min="16" max="16" width="19.85546875" hidden="1" customWidth="1"/>
    <col min="17" max="17" width="19.7109375" customWidth="1"/>
    <col min="18" max="18" width="20.140625" bestFit="1" customWidth="1"/>
    <col min="19" max="19" width="14" customWidth="1"/>
  </cols>
  <sheetData>
    <row r="1" spans="1:19" x14ac:dyDescent="0.25">
      <c r="A1" t="s">
        <v>307</v>
      </c>
      <c r="B1" t="s">
        <v>306</v>
      </c>
      <c r="C1" t="s">
        <v>305</v>
      </c>
      <c r="D1" t="s">
        <v>304</v>
      </c>
      <c r="E1" t="s">
        <v>303</v>
      </c>
      <c r="F1" t="s">
        <v>302</v>
      </c>
      <c r="G1" t="s">
        <v>301</v>
      </c>
      <c r="H1" t="s">
        <v>300</v>
      </c>
      <c r="I1" t="s">
        <v>299</v>
      </c>
      <c r="J1" t="s">
        <v>298</v>
      </c>
      <c r="K1" t="s">
        <v>297</v>
      </c>
      <c r="L1" t="s">
        <v>296</v>
      </c>
      <c r="M1" t="s">
        <v>295</v>
      </c>
      <c r="N1" t="s">
        <v>294</v>
      </c>
      <c r="O1" t="s">
        <v>293</v>
      </c>
      <c r="P1" t="s">
        <v>292</v>
      </c>
      <c r="Q1" t="s">
        <v>291</v>
      </c>
      <c r="R1" t="s">
        <v>290</v>
      </c>
      <c r="S1" t="s">
        <v>289</v>
      </c>
    </row>
    <row r="2" spans="1:19" x14ac:dyDescent="0.25">
      <c r="A2" t="s">
        <v>115</v>
      </c>
      <c r="B2" t="s">
        <v>288</v>
      </c>
      <c r="C2" t="s">
        <v>287</v>
      </c>
      <c r="D2">
        <v>3000</v>
      </c>
      <c r="E2">
        <v>1500</v>
      </c>
      <c r="F2" t="s">
        <v>266</v>
      </c>
      <c r="G2" t="s">
        <v>286</v>
      </c>
      <c r="H2">
        <v>1500</v>
      </c>
      <c r="I2" t="s">
        <v>266</v>
      </c>
      <c r="J2" t="s">
        <v>210</v>
      </c>
      <c r="K2">
        <v>20</v>
      </c>
      <c r="O2">
        <v>780</v>
      </c>
      <c r="P2">
        <v>400</v>
      </c>
      <c r="Q2">
        <v>400</v>
      </c>
      <c r="R2">
        <v>420</v>
      </c>
      <c r="S2" t="s">
        <v>285</v>
      </c>
    </row>
    <row r="3" spans="1:19" x14ac:dyDescent="0.25">
      <c r="A3" t="s">
        <v>118</v>
      </c>
      <c r="B3" t="s">
        <v>284</v>
      </c>
      <c r="C3" t="s">
        <v>283</v>
      </c>
      <c r="D3">
        <v>2980</v>
      </c>
      <c r="E3">
        <v>1400</v>
      </c>
      <c r="F3" t="s">
        <v>281</v>
      </c>
      <c r="G3" t="s">
        <v>282</v>
      </c>
      <c r="H3">
        <v>1400</v>
      </c>
      <c r="I3" t="s">
        <v>281</v>
      </c>
      <c r="J3" t="s">
        <v>210</v>
      </c>
      <c r="K3">
        <v>1</v>
      </c>
      <c r="L3">
        <v>1550</v>
      </c>
      <c r="M3">
        <v>1650</v>
      </c>
      <c r="N3">
        <v>2250</v>
      </c>
      <c r="O3">
        <v>780</v>
      </c>
      <c r="P3">
        <v>400</v>
      </c>
      <c r="Q3">
        <v>400</v>
      </c>
      <c r="R3">
        <v>400</v>
      </c>
      <c r="S3" t="s">
        <v>280</v>
      </c>
    </row>
    <row r="4" spans="1:19" x14ac:dyDescent="0.25">
      <c r="A4" t="s">
        <v>118</v>
      </c>
      <c r="B4" t="s">
        <v>279</v>
      </c>
      <c r="C4" t="s">
        <v>278</v>
      </c>
      <c r="D4">
        <v>2400</v>
      </c>
      <c r="E4">
        <v>1300</v>
      </c>
      <c r="F4" t="s">
        <v>87</v>
      </c>
      <c r="G4" t="s">
        <v>277</v>
      </c>
      <c r="H4">
        <v>1300</v>
      </c>
      <c r="I4" t="s">
        <v>87</v>
      </c>
      <c r="J4" t="s">
        <v>210</v>
      </c>
      <c r="K4">
        <v>15</v>
      </c>
      <c r="L4">
        <v>1566</v>
      </c>
      <c r="M4">
        <v>1650</v>
      </c>
      <c r="N4">
        <v>2100</v>
      </c>
      <c r="O4">
        <v>750</v>
      </c>
      <c r="P4">
        <v>350</v>
      </c>
      <c r="Q4">
        <v>350</v>
      </c>
      <c r="R4">
        <v>300</v>
      </c>
      <c r="S4" t="s">
        <v>276</v>
      </c>
    </row>
    <row r="5" spans="1:19" x14ac:dyDescent="0.25">
      <c r="A5" t="s">
        <v>160</v>
      </c>
      <c r="B5" t="s">
        <v>275</v>
      </c>
      <c r="C5" t="s">
        <v>274</v>
      </c>
      <c r="D5">
        <v>1500</v>
      </c>
      <c r="E5">
        <v>1250</v>
      </c>
      <c r="F5" t="s">
        <v>272</v>
      </c>
      <c r="G5" t="s">
        <v>273</v>
      </c>
      <c r="H5">
        <v>1250</v>
      </c>
      <c r="I5" t="s">
        <v>272</v>
      </c>
      <c r="J5" t="s">
        <v>210</v>
      </c>
      <c r="K5">
        <v>10</v>
      </c>
      <c r="L5">
        <v>150</v>
      </c>
      <c r="M5">
        <v>85</v>
      </c>
      <c r="N5">
        <v>230</v>
      </c>
      <c r="O5">
        <v>1600</v>
      </c>
      <c r="P5">
        <v>600</v>
      </c>
      <c r="Q5">
        <v>600</v>
      </c>
      <c r="R5">
        <v>480</v>
      </c>
      <c r="S5" t="s">
        <v>271</v>
      </c>
    </row>
    <row r="6" spans="1:19" x14ac:dyDescent="0.25">
      <c r="A6" t="s">
        <v>270</v>
      </c>
      <c r="B6" t="s">
        <v>269</v>
      </c>
      <c r="C6" t="s">
        <v>268</v>
      </c>
      <c r="D6">
        <v>1500</v>
      </c>
      <c r="E6">
        <v>1030</v>
      </c>
      <c r="F6" t="s">
        <v>266</v>
      </c>
      <c r="G6" t="s">
        <v>267</v>
      </c>
      <c r="H6">
        <v>1030</v>
      </c>
      <c r="I6" t="s">
        <v>266</v>
      </c>
      <c r="J6" t="s">
        <v>265</v>
      </c>
      <c r="K6">
        <v>35</v>
      </c>
      <c r="L6">
        <v>1020</v>
      </c>
      <c r="M6">
        <v>1350</v>
      </c>
      <c r="N6">
        <v>1850</v>
      </c>
      <c r="P6">
        <v>300</v>
      </c>
      <c r="Q6">
        <v>300</v>
      </c>
      <c r="R6">
        <v>585</v>
      </c>
      <c r="S6" t="s">
        <v>264</v>
      </c>
    </row>
    <row r="7" spans="1:19" x14ac:dyDescent="0.25">
      <c r="A7" t="s">
        <v>198</v>
      </c>
      <c r="B7" t="s">
        <v>263</v>
      </c>
      <c r="C7" t="s">
        <v>243</v>
      </c>
      <c r="D7">
        <v>2569</v>
      </c>
      <c r="E7">
        <v>1000</v>
      </c>
      <c r="F7" t="s">
        <v>90</v>
      </c>
      <c r="G7" t="s">
        <v>262</v>
      </c>
      <c r="H7">
        <v>1000</v>
      </c>
      <c r="I7" t="s">
        <v>90</v>
      </c>
      <c r="J7" t="s">
        <v>261</v>
      </c>
      <c r="K7">
        <v>31</v>
      </c>
      <c r="L7">
        <v>1280</v>
      </c>
      <c r="M7">
        <v>1285</v>
      </c>
      <c r="N7">
        <v>2080</v>
      </c>
      <c r="O7">
        <v>500</v>
      </c>
      <c r="P7">
        <v>230</v>
      </c>
      <c r="Q7">
        <v>230</v>
      </c>
      <c r="R7">
        <v>490</v>
      </c>
      <c r="S7" t="s">
        <v>260</v>
      </c>
    </row>
    <row r="8" spans="1:19" x14ac:dyDescent="0.25">
      <c r="A8" t="s">
        <v>194</v>
      </c>
      <c r="B8" t="s">
        <v>259</v>
      </c>
      <c r="C8" t="s">
        <v>258</v>
      </c>
      <c r="D8">
        <v>2500</v>
      </c>
      <c r="E8">
        <v>1000</v>
      </c>
      <c r="F8" t="s">
        <v>90</v>
      </c>
      <c r="G8" t="s">
        <v>257</v>
      </c>
      <c r="H8">
        <v>1000</v>
      </c>
      <c r="I8" t="s">
        <v>90</v>
      </c>
      <c r="J8" t="s">
        <v>210</v>
      </c>
      <c r="K8">
        <v>30</v>
      </c>
      <c r="O8">
        <v>600</v>
      </c>
      <c r="P8">
        <v>250</v>
      </c>
      <c r="Q8">
        <v>250</v>
      </c>
      <c r="R8">
        <v>360</v>
      </c>
      <c r="S8" t="s">
        <v>256</v>
      </c>
    </row>
    <row r="9" spans="1:19" x14ac:dyDescent="0.25">
      <c r="A9" t="s">
        <v>255</v>
      </c>
      <c r="B9" t="s">
        <v>254</v>
      </c>
      <c r="C9" t="s">
        <v>253</v>
      </c>
      <c r="D9">
        <v>1450</v>
      </c>
      <c r="E9">
        <v>960</v>
      </c>
      <c r="F9" t="s">
        <v>251</v>
      </c>
      <c r="G9" t="s">
        <v>252</v>
      </c>
      <c r="H9">
        <v>960</v>
      </c>
      <c r="I9" t="s">
        <v>251</v>
      </c>
      <c r="J9" t="s">
        <v>250</v>
      </c>
      <c r="K9">
        <v>7</v>
      </c>
      <c r="L9">
        <v>1800</v>
      </c>
      <c r="M9">
        <v>800</v>
      </c>
      <c r="N9">
        <v>1700</v>
      </c>
      <c r="O9">
        <v>800</v>
      </c>
      <c r="P9">
        <v>380</v>
      </c>
      <c r="Q9">
        <v>380</v>
      </c>
      <c r="R9">
        <v>380</v>
      </c>
      <c r="S9" t="s">
        <v>249</v>
      </c>
    </row>
    <row r="10" spans="1:19" x14ac:dyDescent="0.25">
      <c r="A10" t="s">
        <v>168</v>
      </c>
      <c r="B10" t="s">
        <v>248</v>
      </c>
      <c r="C10" t="s">
        <v>247</v>
      </c>
      <c r="D10">
        <v>1099</v>
      </c>
      <c r="E10">
        <v>600</v>
      </c>
      <c r="F10" t="s">
        <v>90</v>
      </c>
      <c r="G10" t="s">
        <v>246</v>
      </c>
      <c r="H10">
        <v>600</v>
      </c>
      <c r="I10" t="s">
        <v>90</v>
      </c>
      <c r="J10" t="s">
        <v>210</v>
      </c>
      <c r="K10">
        <v>15</v>
      </c>
      <c r="L10">
        <v>1030</v>
      </c>
      <c r="M10">
        <v>920</v>
      </c>
      <c r="N10">
        <v>1560</v>
      </c>
      <c r="O10">
        <v>500</v>
      </c>
      <c r="P10">
        <v>240</v>
      </c>
      <c r="Q10">
        <v>240</v>
      </c>
      <c r="R10">
        <v>400</v>
      </c>
      <c r="S10" t="s">
        <v>245</v>
      </c>
    </row>
    <row r="11" spans="1:19" x14ac:dyDescent="0.25">
      <c r="A11" t="s">
        <v>168</v>
      </c>
      <c r="B11" t="s">
        <v>244</v>
      </c>
      <c r="C11" t="s">
        <v>243</v>
      </c>
      <c r="D11">
        <v>1950</v>
      </c>
      <c r="E11">
        <v>550</v>
      </c>
      <c r="F11" t="s">
        <v>90</v>
      </c>
      <c r="G11" t="s">
        <v>242</v>
      </c>
      <c r="H11">
        <v>550</v>
      </c>
      <c r="I11" t="s">
        <v>90</v>
      </c>
      <c r="J11" t="s">
        <v>210</v>
      </c>
      <c r="K11">
        <v>7</v>
      </c>
      <c r="L11">
        <v>1100</v>
      </c>
      <c r="M11">
        <v>970</v>
      </c>
      <c r="N11">
        <v>1650</v>
      </c>
      <c r="O11">
        <v>400</v>
      </c>
      <c r="P11">
        <v>230</v>
      </c>
      <c r="Q11">
        <v>230</v>
      </c>
      <c r="R11">
        <v>380</v>
      </c>
      <c r="S11" t="s">
        <v>241</v>
      </c>
    </row>
    <row r="12" spans="1:19" x14ac:dyDescent="0.25">
      <c r="A12" t="s">
        <v>168</v>
      </c>
      <c r="B12" t="s">
        <v>240</v>
      </c>
      <c r="C12" t="s">
        <v>239</v>
      </c>
      <c r="D12">
        <v>1280</v>
      </c>
      <c r="E12">
        <v>500</v>
      </c>
      <c r="F12" t="s">
        <v>89</v>
      </c>
      <c r="G12" t="s">
        <v>238</v>
      </c>
      <c r="H12">
        <v>500</v>
      </c>
      <c r="I12" t="s">
        <v>89</v>
      </c>
      <c r="J12" t="s">
        <v>210</v>
      </c>
      <c r="K12">
        <v>7</v>
      </c>
      <c r="L12">
        <v>1100</v>
      </c>
      <c r="M12">
        <v>970</v>
      </c>
      <c r="N12">
        <v>1650</v>
      </c>
      <c r="O12">
        <v>400</v>
      </c>
      <c r="P12">
        <v>230</v>
      </c>
      <c r="Q12">
        <v>230</v>
      </c>
      <c r="R12">
        <v>390</v>
      </c>
      <c r="S12" t="s">
        <v>237</v>
      </c>
    </row>
    <row r="13" spans="1:19" x14ac:dyDescent="0.25">
      <c r="A13" t="s">
        <v>209</v>
      </c>
      <c r="B13" t="s">
        <v>236</v>
      </c>
      <c r="C13" t="s">
        <v>235</v>
      </c>
      <c r="D13">
        <v>1635</v>
      </c>
      <c r="E13">
        <v>450</v>
      </c>
      <c r="F13" t="s">
        <v>87</v>
      </c>
      <c r="G13" t="s">
        <v>234</v>
      </c>
      <c r="H13">
        <v>450</v>
      </c>
      <c r="I13" t="s">
        <v>87</v>
      </c>
      <c r="J13" t="s">
        <v>210</v>
      </c>
      <c r="K13">
        <v>31</v>
      </c>
      <c r="O13">
        <v>500</v>
      </c>
      <c r="P13">
        <v>175</v>
      </c>
      <c r="Q13">
        <v>175</v>
      </c>
      <c r="R13">
        <v>130</v>
      </c>
      <c r="S13" t="s">
        <v>233</v>
      </c>
    </row>
    <row r="14" spans="1:19" x14ac:dyDescent="0.25">
      <c r="A14" t="s">
        <v>208</v>
      </c>
      <c r="B14" t="s">
        <v>232</v>
      </c>
      <c r="C14" t="s">
        <v>231</v>
      </c>
      <c r="D14">
        <v>2500</v>
      </c>
      <c r="E14">
        <v>400</v>
      </c>
      <c r="F14" t="s">
        <v>230</v>
      </c>
      <c r="G14" t="e">
        <f>-Handy-Age-Geared-Head-Drilling_10000012150659.html.txt</f>
        <v>#NAME?</v>
      </c>
      <c r="H14">
        <v>400</v>
      </c>
      <c r="I14" t="s">
        <v>230</v>
      </c>
      <c r="J14" t="s">
        <v>210</v>
      </c>
      <c r="L14">
        <v>870</v>
      </c>
      <c r="M14">
        <v>890</v>
      </c>
      <c r="N14">
        <v>1920</v>
      </c>
      <c r="S14" t="s">
        <v>229</v>
      </c>
    </row>
    <row r="15" spans="1:19" x14ac:dyDescent="0.25">
      <c r="A15" t="s">
        <v>124</v>
      </c>
      <c r="B15" t="s">
        <v>228</v>
      </c>
      <c r="C15" t="s">
        <v>223</v>
      </c>
      <c r="D15">
        <v>1400</v>
      </c>
      <c r="E15">
        <v>205</v>
      </c>
      <c r="F15" t="s">
        <v>226</v>
      </c>
      <c r="G15" t="s">
        <v>227</v>
      </c>
      <c r="H15">
        <v>205</v>
      </c>
      <c r="I15" t="s">
        <v>226</v>
      </c>
      <c r="J15" t="s">
        <v>210</v>
      </c>
      <c r="K15">
        <v>30</v>
      </c>
      <c r="L15">
        <v>1000</v>
      </c>
      <c r="M15">
        <v>800</v>
      </c>
      <c r="N15">
        <v>1200</v>
      </c>
      <c r="O15">
        <v>410</v>
      </c>
      <c r="P15">
        <v>205</v>
      </c>
      <c r="Q15">
        <v>205</v>
      </c>
      <c r="R15">
        <v>310</v>
      </c>
      <c r="S15" t="s">
        <v>225</v>
      </c>
    </row>
    <row r="16" spans="1:19" x14ac:dyDescent="0.25">
      <c r="A16" t="s">
        <v>158</v>
      </c>
      <c r="B16" t="s">
        <v>224</v>
      </c>
      <c r="C16" t="s">
        <v>223</v>
      </c>
      <c r="D16" s="7">
        <v>2185</v>
      </c>
      <c r="E16">
        <v>205</v>
      </c>
      <c r="F16" t="s">
        <v>221</v>
      </c>
      <c r="G16" t="s">
        <v>222</v>
      </c>
      <c r="H16">
        <v>205</v>
      </c>
      <c r="I16" t="s">
        <v>221</v>
      </c>
      <c r="J16" t="s">
        <v>220</v>
      </c>
      <c r="K16">
        <v>10</v>
      </c>
      <c r="L16">
        <v>1000</v>
      </c>
      <c r="M16">
        <v>800</v>
      </c>
      <c r="N16">
        <v>1200</v>
      </c>
      <c r="O16">
        <v>410</v>
      </c>
      <c r="P16">
        <v>205</v>
      </c>
      <c r="Q16">
        <v>205</v>
      </c>
      <c r="R16">
        <v>310</v>
      </c>
      <c r="S16" t="s">
        <v>219</v>
      </c>
    </row>
    <row r="17" spans="1:19" x14ac:dyDescent="0.25">
      <c r="A17" t="s">
        <v>207</v>
      </c>
      <c r="B17" t="s">
        <v>218</v>
      </c>
      <c r="C17" t="s">
        <v>217</v>
      </c>
      <c r="D17">
        <v>1120</v>
      </c>
      <c r="E17">
        <v>140</v>
      </c>
      <c r="F17" t="s">
        <v>90</v>
      </c>
      <c r="G17" t="s">
        <v>216</v>
      </c>
      <c r="H17">
        <v>140</v>
      </c>
      <c r="I17" t="s">
        <v>90</v>
      </c>
      <c r="K17">
        <v>30</v>
      </c>
      <c r="O17">
        <v>520</v>
      </c>
      <c r="P17">
        <v>220</v>
      </c>
      <c r="Q17">
        <v>220</v>
      </c>
      <c r="R17">
        <v>480</v>
      </c>
      <c r="S17" t="s">
        <v>215</v>
      </c>
    </row>
    <row r="18" spans="1:19" x14ac:dyDescent="0.25">
      <c r="A18" t="s">
        <v>162</v>
      </c>
      <c r="B18" t="s">
        <v>214</v>
      </c>
      <c r="C18" t="s">
        <v>213</v>
      </c>
      <c r="D18" s="7">
        <v>1460</v>
      </c>
      <c r="E18">
        <v>320</v>
      </c>
      <c r="F18" t="s">
        <v>212</v>
      </c>
      <c r="G18" t="s">
        <v>211</v>
      </c>
      <c r="H18">
        <v>105</v>
      </c>
      <c r="I18" t="s">
        <v>89</v>
      </c>
      <c r="J18" t="s">
        <v>210</v>
      </c>
      <c r="K18">
        <v>7</v>
      </c>
      <c r="L18">
        <v>1260</v>
      </c>
      <c r="M18">
        <v>670</v>
      </c>
      <c r="N18">
        <v>550</v>
      </c>
      <c r="O18">
        <v>500</v>
      </c>
      <c r="P18">
        <v>180</v>
      </c>
      <c r="Q18">
        <v>175</v>
      </c>
      <c r="R18">
        <v>130</v>
      </c>
    </row>
    <row r="24" spans="1:19" x14ac:dyDescent="0.25">
      <c r="C24" s="5" t="s">
        <v>168</v>
      </c>
    </row>
    <row r="25" spans="1:19" x14ac:dyDescent="0.25">
      <c r="C25" s="5" t="s">
        <v>209</v>
      </c>
    </row>
    <row r="26" spans="1:19" x14ac:dyDescent="0.25">
      <c r="C26" s="6" t="s">
        <v>162</v>
      </c>
    </row>
    <row r="27" spans="1:19" x14ac:dyDescent="0.25">
      <c r="C27" s="6" t="s">
        <v>208</v>
      </c>
    </row>
    <row r="28" spans="1:19" x14ac:dyDescent="0.25">
      <c r="C28" s="5" t="s">
        <v>124</v>
      </c>
    </row>
    <row r="29" spans="1:19" x14ac:dyDescent="0.25">
      <c r="C29" s="6" t="s">
        <v>158</v>
      </c>
    </row>
    <row r="30" spans="1:19" x14ac:dyDescent="0.25">
      <c r="C30" s="5" t="s">
        <v>207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446F-5D00-4477-87E8-B6DD36391417}">
  <dimension ref="A1:L32"/>
  <sheetViews>
    <sheetView tabSelected="1" workbookViewId="0">
      <selection activeCell="I28" sqref="I28"/>
    </sheetView>
  </sheetViews>
  <sheetFormatPr defaultRowHeight="15" x14ac:dyDescent="0.25"/>
  <cols>
    <col min="1" max="1" width="15.28515625" customWidth="1"/>
    <col min="2" max="2" width="22.140625" customWidth="1"/>
    <col min="3" max="3" width="18.7109375" customWidth="1"/>
    <col min="4" max="4" width="14.5703125" customWidth="1"/>
    <col min="5" max="5" width="22.140625" customWidth="1"/>
    <col min="6" max="6" width="12.7109375" customWidth="1"/>
    <col min="7" max="7" width="13.28515625" customWidth="1"/>
    <col min="8" max="8" width="9.5703125" customWidth="1"/>
    <col min="9" max="9" width="16" customWidth="1"/>
    <col min="10" max="10" width="15.42578125" customWidth="1"/>
    <col min="11" max="11" width="22.140625" customWidth="1"/>
    <col min="12" max="12" width="16.140625" customWidth="1"/>
  </cols>
  <sheetData>
    <row r="1" spans="1:12" x14ac:dyDescent="0.25">
      <c r="A1" s="2" t="s">
        <v>0</v>
      </c>
      <c r="B1" s="2" t="s">
        <v>431</v>
      </c>
      <c r="C1" s="2" t="s">
        <v>430</v>
      </c>
      <c r="D1" s="2" t="s">
        <v>429</v>
      </c>
      <c r="E1" s="2" t="s">
        <v>428</v>
      </c>
      <c r="F1" s="2" t="s">
        <v>427</v>
      </c>
      <c r="G1" s="2" t="s">
        <v>426</v>
      </c>
      <c r="H1" s="2" t="s">
        <v>425</v>
      </c>
      <c r="I1" s="2" t="s">
        <v>424</v>
      </c>
      <c r="J1" s="2" t="s">
        <v>11</v>
      </c>
      <c r="K1" s="2" t="s">
        <v>423</v>
      </c>
      <c r="L1" s="2" t="s">
        <v>422</v>
      </c>
    </row>
    <row r="2" spans="1:12" ht="30" x14ac:dyDescent="0.25">
      <c r="A2" s="8" t="s">
        <v>168</v>
      </c>
      <c r="B2" s="3" t="s">
        <v>421</v>
      </c>
      <c r="C2" s="3" t="s">
        <v>420</v>
      </c>
      <c r="D2" s="3" t="s">
        <v>412</v>
      </c>
      <c r="E2" s="3" t="s">
        <v>331</v>
      </c>
      <c r="F2" s="3" t="s">
        <v>395</v>
      </c>
      <c r="G2" s="3" t="s">
        <v>394</v>
      </c>
      <c r="H2" s="3" t="s">
        <v>419</v>
      </c>
      <c r="I2" s="3" t="s">
        <v>418</v>
      </c>
      <c r="J2" s="3" t="s">
        <v>417</v>
      </c>
      <c r="K2" s="3" t="s">
        <v>416</v>
      </c>
      <c r="L2" s="3" t="s">
        <v>415</v>
      </c>
    </row>
    <row r="3" spans="1:12" ht="30" x14ac:dyDescent="0.25">
      <c r="A3" s="8" t="s">
        <v>209</v>
      </c>
      <c r="B3" s="3" t="s">
        <v>414</v>
      </c>
      <c r="C3" s="3" t="s">
        <v>413</v>
      </c>
      <c r="D3" s="3" t="s">
        <v>412</v>
      </c>
      <c r="E3" s="3" t="s">
        <v>331</v>
      </c>
      <c r="F3" s="3" t="s">
        <v>395</v>
      </c>
      <c r="G3" s="3" t="s">
        <v>411</v>
      </c>
      <c r="H3" s="3" t="s">
        <v>410</v>
      </c>
      <c r="I3" s="3" t="s">
        <v>401</v>
      </c>
      <c r="J3" s="3" t="s">
        <v>409</v>
      </c>
      <c r="K3" s="3" t="s">
        <v>408</v>
      </c>
      <c r="L3" s="3" t="s">
        <v>407</v>
      </c>
    </row>
    <row r="4" spans="1:12" ht="30" x14ac:dyDescent="0.25">
      <c r="A4" s="8" t="s">
        <v>162</v>
      </c>
      <c r="B4" s="3" t="s">
        <v>406</v>
      </c>
      <c r="C4" s="3" t="s">
        <v>405</v>
      </c>
      <c r="D4" s="3" t="s">
        <v>404</v>
      </c>
      <c r="E4" s="3" t="s">
        <v>331</v>
      </c>
      <c r="F4" s="3" t="s">
        <v>395</v>
      </c>
      <c r="G4" s="3" t="s">
        <v>403</v>
      </c>
      <c r="H4" s="3" t="s">
        <v>402</v>
      </c>
      <c r="I4" s="3" t="s">
        <v>401</v>
      </c>
      <c r="J4" s="3" t="s">
        <v>400</v>
      </c>
      <c r="K4" s="3" t="s">
        <v>399</v>
      </c>
      <c r="L4" s="3" t="s">
        <v>328</v>
      </c>
    </row>
    <row r="5" spans="1:12" ht="30" hidden="1" x14ac:dyDescent="0.25">
      <c r="A5" s="8" t="s">
        <v>208</v>
      </c>
      <c r="B5" s="3" t="s">
        <v>398</v>
      </c>
      <c r="C5" s="3" t="s">
        <v>397</v>
      </c>
      <c r="D5" s="3" t="s">
        <v>396</v>
      </c>
      <c r="E5" s="3" t="s">
        <v>331</v>
      </c>
      <c r="F5" s="3" t="s">
        <v>395</v>
      </c>
      <c r="G5" s="3" t="s">
        <v>394</v>
      </c>
      <c r="H5" s="3" t="s">
        <v>393</v>
      </c>
      <c r="I5" s="3" t="s">
        <v>392</v>
      </c>
      <c r="J5" s="3" t="s">
        <v>391</v>
      </c>
      <c r="K5" s="3" t="s">
        <v>390</v>
      </c>
      <c r="L5" s="3" t="s">
        <v>389</v>
      </c>
    </row>
    <row r="6" spans="1:12" ht="30" hidden="1" x14ac:dyDescent="0.25">
      <c r="A6" s="8" t="s">
        <v>124</v>
      </c>
      <c r="B6" s="3" t="s">
        <v>388</v>
      </c>
      <c r="C6" s="3" t="s">
        <v>382</v>
      </c>
      <c r="D6" s="3" t="s">
        <v>381</v>
      </c>
      <c r="E6" s="3" t="s">
        <v>331</v>
      </c>
      <c r="F6" s="3" t="s">
        <v>380</v>
      </c>
      <c r="G6" s="3" t="s">
        <v>379</v>
      </c>
      <c r="H6" s="3" t="s">
        <v>387</v>
      </c>
      <c r="I6" s="3" t="s">
        <v>386</v>
      </c>
      <c r="J6" s="3" t="s">
        <v>385</v>
      </c>
      <c r="K6" s="3" t="s">
        <v>375</v>
      </c>
      <c r="L6" s="3" t="s">
        <v>384</v>
      </c>
    </row>
    <row r="7" spans="1:12" ht="30" x14ac:dyDescent="0.25">
      <c r="A7" s="8" t="s">
        <v>158</v>
      </c>
      <c r="B7" s="3" t="s">
        <v>383</v>
      </c>
      <c r="C7" s="3" t="s">
        <v>382</v>
      </c>
      <c r="D7" s="3" t="s">
        <v>381</v>
      </c>
      <c r="E7" s="3" t="s">
        <v>331</v>
      </c>
      <c r="F7" s="3" t="s">
        <v>380</v>
      </c>
      <c r="G7" s="3" t="s">
        <v>379</v>
      </c>
      <c r="H7" s="3" t="s">
        <v>378</v>
      </c>
      <c r="I7" s="3" t="s">
        <v>377</v>
      </c>
      <c r="J7" s="3" t="s">
        <v>376</v>
      </c>
      <c r="K7" s="3" t="s">
        <v>375</v>
      </c>
      <c r="L7" s="3" t="s">
        <v>374</v>
      </c>
    </row>
    <row r="8" spans="1:12" ht="30" hidden="1" x14ac:dyDescent="0.25">
      <c r="A8" s="8" t="s">
        <v>207</v>
      </c>
      <c r="B8" s="3" t="s">
        <v>373</v>
      </c>
      <c r="C8" s="3" t="s">
        <v>372</v>
      </c>
      <c r="D8" s="3" t="s">
        <v>371</v>
      </c>
      <c r="E8" s="3" t="s">
        <v>370</v>
      </c>
      <c r="F8" s="3" t="s">
        <v>369</v>
      </c>
      <c r="G8" s="3" t="s">
        <v>368</v>
      </c>
      <c r="H8" s="3" t="s">
        <v>367</v>
      </c>
      <c r="I8" s="3" t="s">
        <v>366</v>
      </c>
      <c r="J8" s="3" t="s">
        <v>365</v>
      </c>
      <c r="K8" s="3" t="s">
        <v>364</v>
      </c>
      <c r="L8" s="3" t="s">
        <v>333</v>
      </c>
    </row>
    <row r="9" spans="1:12" ht="30" hidden="1" x14ac:dyDescent="0.25">
      <c r="A9" s="8" t="s">
        <v>24</v>
      </c>
      <c r="B9" s="3" t="s">
        <v>363</v>
      </c>
      <c r="C9" s="3" t="s">
        <v>362</v>
      </c>
      <c r="D9" s="3" t="s">
        <v>361</v>
      </c>
      <c r="E9" s="3" t="s">
        <v>337</v>
      </c>
      <c r="F9" s="3" t="s">
        <v>336</v>
      </c>
      <c r="G9" s="3" t="s">
        <v>322</v>
      </c>
      <c r="H9" s="3" t="s">
        <v>360</v>
      </c>
      <c r="I9" s="3" t="s">
        <v>320</v>
      </c>
      <c r="J9" s="3" t="s">
        <v>319</v>
      </c>
      <c r="K9" s="3" t="s">
        <v>359</v>
      </c>
      <c r="L9" s="3" t="s">
        <v>333</v>
      </c>
    </row>
    <row r="10" spans="1:12" ht="45" hidden="1" x14ac:dyDescent="0.25">
      <c r="A10" s="8" t="s">
        <v>358</v>
      </c>
      <c r="B10" s="3" t="s">
        <v>357</v>
      </c>
      <c r="C10" s="3" t="s">
        <v>356</v>
      </c>
      <c r="D10" s="3" t="s">
        <v>355</v>
      </c>
      <c r="E10" s="3" t="s">
        <v>354</v>
      </c>
      <c r="F10" s="3" t="s">
        <v>353</v>
      </c>
      <c r="G10" s="3" t="s">
        <v>352</v>
      </c>
      <c r="H10" s="3" t="s">
        <v>351</v>
      </c>
      <c r="I10" s="3" t="s">
        <v>342</v>
      </c>
      <c r="J10" s="3" t="s">
        <v>350</v>
      </c>
      <c r="K10" s="3" t="s">
        <v>349</v>
      </c>
      <c r="L10" s="3" t="s">
        <v>348</v>
      </c>
    </row>
    <row r="11" spans="1:12" ht="45" hidden="1" x14ac:dyDescent="0.25">
      <c r="A11" s="8" t="s">
        <v>32</v>
      </c>
      <c r="B11" s="3" t="s">
        <v>347</v>
      </c>
      <c r="C11" s="3" t="s">
        <v>346</v>
      </c>
      <c r="D11" s="3" t="s">
        <v>325</v>
      </c>
      <c r="E11" s="3" t="s">
        <v>324</v>
      </c>
      <c r="F11" s="3" t="s">
        <v>345</v>
      </c>
      <c r="G11" s="3" t="s">
        <v>344</v>
      </c>
      <c r="H11" s="3" t="s">
        <v>343</v>
      </c>
      <c r="I11" s="3" t="s">
        <v>342</v>
      </c>
      <c r="J11" s="3" t="s">
        <v>319</v>
      </c>
      <c r="K11" s="3" t="s">
        <v>341</v>
      </c>
      <c r="L11" s="3" t="s">
        <v>317</v>
      </c>
    </row>
    <row r="12" spans="1:12" ht="30" hidden="1" x14ac:dyDescent="0.25">
      <c r="A12" s="8" t="s">
        <v>21</v>
      </c>
      <c r="B12" s="3" t="s">
        <v>340</v>
      </c>
      <c r="C12" s="3" t="s">
        <v>339</v>
      </c>
      <c r="D12" s="3" t="s">
        <v>338</v>
      </c>
      <c r="E12" s="3" t="s">
        <v>337</v>
      </c>
      <c r="F12" s="3" t="s">
        <v>336</v>
      </c>
      <c r="G12" s="3" t="s">
        <v>322</v>
      </c>
      <c r="H12" s="3" t="s">
        <v>335</v>
      </c>
      <c r="I12" s="3" t="s">
        <v>320</v>
      </c>
      <c r="J12" s="3" t="s">
        <v>319</v>
      </c>
      <c r="K12" s="3" t="s">
        <v>334</v>
      </c>
      <c r="L12" s="3" t="s">
        <v>333</v>
      </c>
    </row>
    <row r="13" spans="1:12" ht="30" hidden="1" x14ac:dyDescent="0.25">
      <c r="A13" s="8" t="s">
        <v>22</v>
      </c>
      <c r="B13" s="3" t="s">
        <v>327</v>
      </c>
      <c r="C13" s="3" t="s">
        <v>326</v>
      </c>
      <c r="D13" s="3" t="s">
        <v>332</v>
      </c>
      <c r="E13" s="3" t="s">
        <v>331</v>
      </c>
      <c r="F13" s="3" t="s">
        <v>330</v>
      </c>
      <c r="G13" s="3" t="s">
        <v>322</v>
      </c>
      <c r="H13" s="3" t="s">
        <v>321</v>
      </c>
      <c r="I13" s="3" t="s">
        <v>320</v>
      </c>
      <c r="J13" s="3" t="s">
        <v>319</v>
      </c>
      <c r="K13" s="3" t="s">
        <v>329</v>
      </c>
      <c r="L13" s="3" t="s">
        <v>328</v>
      </c>
    </row>
    <row r="14" spans="1:12" ht="30" hidden="1" x14ac:dyDescent="0.25">
      <c r="A14" s="8" t="s">
        <v>23</v>
      </c>
      <c r="B14" s="3" t="s">
        <v>327</v>
      </c>
      <c r="C14" s="3" t="s">
        <v>326</v>
      </c>
      <c r="D14" s="3" t="s">
        <v>325</v>
      </c>
      <c r="E14" s="3" t="s">
        <v>324</v>
      </c>
      <c r="F14" s="3" t="s">
        <v>323</v>
      </c>
      <c r="G14" s="3" t="s">
        <v>322</v>
      </c>
      <c r="H14" s="3" t="s">
        <v>321</v>
      </c>
      <c r="I14" s="3" t="s">
        <v>320</v>
      </c>
      <c r="J14" s="3" t="s">
        <v>319</v>
      </c>
      <c r="K14" s="3" t="s">
        <v>318</v>
      </c>
      <c r="L14" s="3" t="s">
        <v>317</v>
      </c>
    </row>
    <row r="19" spans="4:6" x14ac:dyDescent="0.25">
      <c r="D19" t="s">
        <v>316</v>
      </c>
    </row>
    <row r="20" spans="4:6" x14ac:dyDescent="0.25">
      <c r="E20" t="s">
        <v>315</v>
      </c>
      <c r="F20" t="s">
        <v>314</v>
      </c>
    </row>
    <row r="21" spans="4:6" x14ac:dyDescent="0.25">
      <c r="D21" t="s">
        <v>111</v>
      </c>
      <c r="E21">
        <v>1391</v>
      </c>
      <c r="F21">
        <v>1391</v>
      </c>
    </row>
    <row r="22" spans="4:6" x14ac:dyDescent="0.25">
      <c r="D22" t="s">
        <v>313</v>
      </c>
      <c r="E22">
        <v>311.64</v>
      </c>
      <c r="F22">
        <v>311.64</v>
      </c>
    </row>
    <row r="23" spans="4:6" x14ac:dyDescent="0.25">
      <c r="D23" t="s">
        <v>312</v>
      </c>
      <c r="E23">
        <f>SUM(E21:E22)*0.042</f>
        <v>71.51088</v>
      </c>
      <c r="F23">
        <f>SUM(F21:F22)*0.492</f>
        <v>837.69887999999992</v>
      </c>
    </row>
    <row r="24" spans="4:6" x14ac:dyDescent="0.25">
      <c r="D24" t="s">
        <v>311</v>
      </c>
      <c r="E24">
        <v>0</v>
      </c>
      <c r="F24">
        <v>225</v>
      </c>
    </row>
    <row r="25" spans="4:6" x14ac:dyDescent="0.25">
      <c r="D25" t="s">
        <v>310</v>
      </c>
      <c r="E25">
        <v>60</v>
      </c>
      <c r="F25">
        <v>60</v>
      </c>
    </row>
    <row r="26" spans="4:6" x14ac:dyDescent="0.25">
      <c r="D26" t="s">
        <v>309</v>
      </c>
      <c r="E26">
        <v>200</v>
      </c>
      <c r="F26">
        <v>250</v>
      </c>
    </row>
    <row r="27" spans="4:6" x14ac:dyDescent="0.25">
      <c r="D27" t="s">
        <v>308</v>
      </c>
      <c r="E27">
        <v>100</v>
      </c>
      <c r="F27">
        <v>100</v>
      </c>
    </row>
    <row r="28" spans="4:6" x14ac:dyDescent="0.25">
      <c r="E28">
        <f>SUM(E21:E27)</f>
        <v>2134.1508800000001</v>
      </c>
      <c r="F28">
        <f>SUM(F21:F27)</f>
        <v>3175.3388799999998</v>
      </c>
    </row>
    <row r="32" spans="4:6" x14ac:dyDescent="0.25">
      <c r="F32">
        <f>1500*0.05</f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Milling_Machines___Unit_Price__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Paulo Vezzá Campos</cp:lastModifiedBy>
  <dcterms:created xsi:type="dcterms:W3CDTF">2025-06-23T03:30:13Z</dcterms:created>
  <dcterms:modified xsi:type="dcterms:W3CDTF">2025-06-26T13:50:34Z</dcterms:modified>
</cp:coreProperties>
</file>